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13_ncr:1_{EF9E8364-FA20-C545-92BD-9D037392BED4}" xr6:coauthVersionLast="47" xr6:coauthVersionMax="47" xr10:uidLastSave="{00000000-0000-0000-0000-000000000000}"/>
  <bookViews>
    <workbookView xWindow="780" yWindow="1000" windowWidth="27640" windowHeight="15760" activeTab="6" xr2:uid="{5B1E1EAD-BCF4-1A45-A7D3-DE55471A92E7}"/>
  </bookViews>
  <sheets>
    <sheet name="Answer1" sheetId="2" r:id="rId1"/>
    <sheet name="QUESTION1" sheetId="1" r:id="rId2"/>
    <sheet name="Answer2" sheetId="4" r:id="rId3"/>
    <sheet name="QUESTION2" sheetId="3" r:id="rId4"/>
    <sheet name="QUESTION3" sheetId="5" r:id="rId5"/>
    <sheet name="QUESTION3Report" sheetId="6" r:id="rId6"/>
    <sheet name="QUESTION3Sensitivity" sheetId="7" r:id="rId7"/>
    <sheet name="QUESTION3Limits" sheetId="8" r:id="rId8"/>
  </sheets>
  <definedNames>
    <definedName name="solver_adj" localSheetId="1" hidden="1">QUESTION1!$E$6:$F$6</definedName>
    <definedName name="solver_adj" localSheetId="3" hidden="1">QUESTION2!$F$6:$H$6</definedName>
    <definedName name="solver_adj" localSheetId="4" hidden="1">QUESTION3!$G$8:$H$8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drv" localSheetId="1" hidden="1">1</definedName>
    <definedName name="solver_drv" localSheetId="3" hidden="1">1</definedName>
    <definedName name="solver_drv" localSheetId="4" hidden="1">1</definedName>
    <definedName name="solver_eng" localSheetId="1" hidden="1">2</definedName>
    <definedName name="solver_eng" localSheetId="3" hidden="1">2</definedName>
    <definedName name="solver_eng" localSheetId="4" hidden="1">1</definedName>
    <definedName name="solver_itr" localSheetId="1" hidden="1">2147483647</definedName>
    <definedName name="solver_itr" localSheetId="3" hidden="1">2147483647</definedName>
    <definedName name="solver_itr" localSheetId="4" hidden="1">2147483647</definedName>
    <definedName name="solver_lhs1" localSheetId="1" hidden="1">QUESTION1!$E$6:$F$6</definedName>
    <definedName name="solver_lhs1" localSheetId="3" hidden="1">QUESTION2!$F$6:$H$6</definedName>
    <definedName name="solver_lhs1" localSheetId="4" hidden="1">QUESTION3!$J$14:$J$16</definedName>
    <definedName name="solver_lhs2" localSheetId="1" hidden="1">QUESTION1!$E$6:$F$6</definedName>
    <definedName name="solver_lhs2" localSheetId="3" hidden="1">QUESTION2!$I$12:$I$14</definedName>
    <definedName name="solver_lhs3" localSheetId="1" hidden="1">QUESTION1!$H$12:$H$13</definedName>
    <definedName name="solver_lin" localSheetId="1" hidden="1">1</definedName>
    <definedName name="solver_lin" localSheetId="3" hidden="1">1</definedName>
    <definedName name="solver_lin" localSheetId="4" hidden="1">2</definedName>
    <definedName name="solver_mip" localSheetId="1" hidden="1">2147483647</definedName>
    <definedName name="solver_mip" localSheetId="3" hidden="1">2147483647</definedName>
    <definedName name="solver_mip" localSheetId="4" hidden="1">2147483647</definedName>
    <definedName name="solver_mni" localSheetId="1" hidden="1">30</definedName>
    <definedName name="solver_mni" localSheetId="3" hidden="1">30</definedName>
    <definedName name="solver_mni" localSheetId="4" hidden="1">30</definedName>
    <definedName name="solver_mrt" localSheetId="1" hidden="1">0.075</definedName>
    <definedName name="solver_mrt" localSheetId="3" hidden="1">0.075</definedName>
    <definedName name="solver_mrt" localSheetId="4" hidden="1">0.075</definedName>
    <definedName name="solver_msl" localSheetId="1" hidden="1">2</definedName>
    <definedName name="solver_msl" localSheetId="3" hidden="1">2</definedName>
    <definedName name="solver_msl" localSheetId="4" hidden="1">2</definedName>
    <definedName name="solver_neg" localSheetId="1" hidden="1">1</definedName>
    <definedName name="solver_neg" localSheetId="3" hidden="1">1</definedName>
    <definedName name="solver_neg" localSheetId="4" hidden="1">1</definedName>
    <definedName name="solver_nod" localSheetId="1" hidden="1">2147483647</definedName>
    <definedName name="solver_nod" localSheetId="3" hidden="1">2147483647</definedName>
    <definedName name="solver_nod" localSheetId="4" hidden="1">2147483647</definedName>
    <definedName name="solver_num" localSheetId="1" hidden="1">3</definedName>
    <definedName name="solver_num" localSheetId="3" hidden="1">2</definedName>
    <definedName name="solver_num" localSheetId="4" hidden="1">1</definedName>
    <definedName name="solver_opt" localSheetId="1" hidden="1">QUESTION1!$I$6</definedName>
    <definedName name="solver_opt" localSheetId="3" hidden="1">QUESTION2!$J$6</definedName>
    <definedName name="solver_opt" localSheetId="4" hidden="1">QUESTION3!$K$8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rbv" localSheetId="1" hidden="1">1</definedName>
    <definedName name="solver_rbv" localSheetId="3" hidden="1">1</definedName>
    <definedName name="solver_rbv" localSheetId="4" hidden="1">1</definedName>
    <definedName name="solver_rel1" localSheetId="1" hidden="1">5</definedName>
    <definedName name="solver_rel1" localSheetId="3" hidden="1">4</definedName>
    <definedName name="solver_rel1" localSheetId="4" hidden="1">1</definedName>
    <definedName name="solver_rel2" localSheetId="1" hidden="1">4</definedName>
    <definedName name="solver_rel2" localSheetId="3" hidden="1">1</definedName>
    <definedName name="solver_rel3" localSheetId="1" hidden="1">1</definedName>
    <definedName name="solver_rhs1" localSheetId="1" hidden="1">"binary"</definedName>
    <definedName name="solver_rhs1" localSheetId="3" hidden="1">"integer"</definedName>
    <definedName name="solver_rhs1" localSheetId="4" hidden="1">QUESTION3!$L$14:$L$16</definedName>
    <definedName name="solver_rhs2" localSheetId="1" hidden="1">"integer"</definedName>
    <definedName name="solver_rhs2" localSheetId="3" hidden="1">QUESTION2!$K$12:$K$14</definedName>
    <definedName name="solver_rhs3" localSheetId="1" hidden="1">QUESTION1!$J$12:$J$13</definedName>
    <definedName name="solver_rlx" localSheetId="1" hidden="1">2</definedName>
    <definedName name="solver_rlx" localSheetId="3" hidden="1">2</definedName>
    <definedName name="solver_rlx" localSheetId="4" hidden="1">1</definedName>
    <definedName name="solver_rsd" localSheetId="1" hidden="1">0</definedName>
    <definedName name="solver_rsd" localSheetId="3" hidden="1">0</definedName>
    <definedName name="solver_rsd" localSheetId="4" hidden="1">0</definedName>
    <definedName name="solver_scl" localSheetId="1" hidden="1">1</definedName>
    <definedName name="solver_scl" localSheetId="3" hidden="1">1</definedName>
    <definedName name="solver_scl" localSheetId="4" hidden="1">2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sz" localSheetId="1" hidden="1">100</definedName>
    <definedName name="solver_ssz" localSheetId="3" hidden="1">100</definedName>
    <definedName name="solver_ssz" localSheetId="4" hidden="1">100</definedName>
    <definedName name="solver_tim" localSheetId="1" hidden="1">2147483647</definedName>
    <definedName name="solver_tim" localSheetId="3" hidden="1">2147483647</definedName>
    <definedName name="solver_tim" localSheetId="4" hidden="1">2147483647</definedName>
    <definedName name="solver_tol" localSheetId="1" hidden="1">0.01</definedName>
    <definedName name="solver_tol" localSheetId="3" hidden="1">0.01</definedName>
    <definedName name="solver_tol" localSheetId="4" hidden="1">0.01</definedName>
    <definedName name="solver_typ" localSheetId="1" hidden="1">1</definedName>
    <definedName name="solver_typ" localSheetId="3" hidden="1">1</definedName>
    <definedName name="solver_typ" localSheetId="4" hidden="1">1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er" localSheetId="1" hidden="1">2</definedName>
    <definedName name="solver_ver" localSheetId="3" hidden="1">2</definedName>
    <definedName name="solver_ver" localSheetId="4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5" l="1"/>
  <c r="J15" i="5"/>
  <c r="J14" i="5"/>
  <c r="K8" i="5"/>
  <c r="J6" i="3"/>
  <c r="I14" i="3"/>
  <c r="I13" i="3"/>
  <c r="I12" i="3"/>
  <c r="I6" i="1"/>
  <c r="H13" i="1"/>
  <c r="H12" i="1"/>
</calcChain>
</file>

<file path=xl/sharedStrings.xml><?xml version="1.0" encoding="utf-8"?>
<sst xmlns="http://schemas.openxmlformats.org/spreadsheetml/2006/main" count="248" uniqueCount="106">
  <si>
    <t>Variables</t>
  </si>
  <si>
    <t>x1</t>
  </si>
  <si>
    <t>x2</t>
  </si>
  <si>
    <t>Profit</t>
  </si>
  <si>
    <t>Solution</t>
  </si>
  <si>
    <t>Obj Function Coeff</t>
  </si>
  <si>
    <t>Constraints</t>
  </si>
  <si>
    <t>LHS</t>
  </si>
  <si>
    <t>RHS</t>
  </si>
  <si>
    <t>Const1</t>
  </si>
  <si>
    <t>&lt;=</t>
  </si>
  <si>
    <t>Const2</t>
  </si>
  <si>
    <t>Microsoft Excel 16.78 Answer Report</t>
  </si>
  <si>
    <t>Worksheet: [Book8]Sheet1</t>
  </si>
  <si>
    <t>Report Created: 30/04/2026 18:43:37</t>
  </si>
  <si>
    <t>Result: Solver found a solution.  All constraints and optimality conditions are satisfied.</t>
  </si>
  <si>
    <t>Solver Engine</t>
  </si>
  <si>
    <t>Engine: Simplex LP</t>
  </si>
  <si>
    <t>Solution Time: 1071.917 Seconds.</t>
  </si>
  <si>
    <t>Iterations: 0 Subproblems: 4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</si>
  <si>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</si>
  <si>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</si>
  <si>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</si>
  <si>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</si>
  <si>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</si>
  <si>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</si>
  <si>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</si>
  <si>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</si>
  <si>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</si>
  <si>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</si>
  <si>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</si>
  <si>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</si>
  <si>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</si>
  <si>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</si>
  <si>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$I$6</t>
  </si>
  <si>
    <t>Solution Profit</t>
  </si>
  <si>
    <t>$E$6</t>
  </si>
  <si>
    <t>Solution x1</t>
  </si>
  <si>
    <t>Contin</t>
  </si>
  <si>
    <t>$F$6</t>
  </si>
  <si>
    <t>Solution x2</t>
  </si>
  <si>
    <t>$H$12</t>
  </si>
  <si>
    <t>Const1 LHS</t>
  </si>
  <si>
    <t>$H$12&lt;=$J$12</t>
  </si>
  <si>
    <t>Not Binding</t>
  </si>
  <si>
    <t>$H$13</t>
  </si>
  <si>
    <t>Const2 LHS</t>
  </si>
  <si>
    <t>$H$13&lt;=$J$13</t>
  </si>
  <si>
    <t>$E$6:$F$6=Binary</t>
  </si>
  <si>
    <t>$E$6:$F$6=Integer</t>
  </si>
  <si>
    <t>That means that the machine to be selected is Machine 2.</t>
  </si>
  <si>
    <t xml:space="preserve"> </t>
  </si>
  <si>
    <t>Machine 2 gives a profit of 12.</t>
  </si>
  <si>
    <t>x3</t>
  </si>
  <si>
    <t>Const3</t>
  </si>
  <si>
    <t>Worksheet: [CAT 1_Question1_222331.xlsx]Sheet3</t>
  </si>
  <si>
    <t>Report Created: 30/04/2026 18:59:00</t>
  </si>
  <si>
    <t>Solution Time: 866.619 Seconds.</t>
  </si>
  <si>
    <t>Iterations: 2 Subproblems: 6</t>
  </si>
  <si>
    <t>Max Time Unlimited, Iterations Unlimited, Precision 0.000001, Use Automatic Scaling</t>
  </si>
  <si>
    <t>$J$6</t>
  </si>
  <si>
    <t>$G$6</t>
  </si>
  <si>
    <t>$H$6</t>
  </si>
  <si>
    <t>Solution x3</t>
  </si>
  <si>
    <t>$I$12</t>
  </si>
  <si>
    <t>$I$12&lt;=$K$12</t>
  </si>
  <si>
    <t>Binding</t>
  </si>
  <si>
    <t>$I$13</t>
  </si>
  <si>
    <t>$I$13&lt;=$K$13</t>
  </si>
  <si>
    <t>$I$14</t>
  </si>
  <si>
    <t>Const3 LHS</t>
  </si>
  <si>
    <t>$I$14&lt;=$K$14</t>
  </si>
  <si>
    <t>$F$6:$H$6=Integer</t>
  </si>
  <si>
    <t>Max</t>
  </si>
  <si>
    <t>Worksheet: [CAT 1_Question1_222331.xlsx]QUESTION3</t>
  </si>
  <si>
    <t>Report Created: 30/04/2026 19:03:30</t>
  </si>
  <si>
    <t>Engine: GRG Nonlinear</t>
  </si>
  <si>
    <t>Solution Time: 939.33 Seconds.</t>
  </si>
  <si>
    <t>Iterations: 3 Subproblems: 0</t>
  </si>
  <si>
    <t>Max Time Unlimited, Iterations Unlimited, Precision 1E-06</t>
  </si>
  <si>
    <t>Convergence 0.0001, Population Size 100, Random Seed 0, Derivatives Forward, Require Bounds</t>
  </si>
  <si>
    <t>Max Subproblems Unlimited, Max Integer Sols Unlimited, Integer Tolerance 1%, Solve Without Integer Constraints, Assume NonNegative</t>
  </si>
  <si>
    <t>$K$8</t>
  </si>
  <si>
    <t>Solution Max</t>
  </si>
  <si>
    <t>$G$8</t>
  </si>
  <si>
    <t>$H$8</t>
  </si>
  <si>
    <t>$J$14</t>
  </si>
  <si>
    <t>$J$14&lt;=$L$14</t>
  </si>
  <si>
    <t>$J$15</t>
  </si>
  <si>
    <t>$J$15&lt;=$L$15</t>
  </si>
  <si>
    <t>$J$16</t>
  </si>
  <si>
    <t>$J$16&lt;=$L$16</t>
  </si>
  <si>
    <t>Microsoft Excel 16.78 Sensitivity Report</t>
  </si>
  <si>
    <t>Final</t>
  </si>
  <si>
    <t>Value</t>
  </si>
  <si>
    <t>Reduced</t>
  </si>
  <si>
    <t>Gradient</t>
  </si>
  <si>
    <t>Lagrange</t>
  </si>
  <si>
    <t>Multiplier</t>
  </si>
  <si>
    <t>Microsoft Excel 16.78 Limits Report</t>
  </si>
  <si>
    <t>Objective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</si>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</sst>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5E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5E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3" fillId="0" borderId="0" xfId="0" applyFont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52F6-A2A6-3E4E-B2D3-12C5BD8DD251}">
  <dimension ref="A1:I30"/>
  <sheetViews>
    <sheetView showGridLines="0" topLeftCell="A6" workbookViewId="0">
      <selection activeCell="I16" sqref="I16"/>
    </sheetView>
  </sheetViews>
  <sheetFormatPr baseColWidth="10" defaultRowHeight="16" x14ac:dyDescent="0.2"/>
  <cols>
    <col min="1" max="1" width="2.33203125" customWidth="1"/>
    <col min="2" max="2" width="16.6640625" bestFit="1" customWidth="1"/>
    <col min="3" max="4" width="12.83203125" bestFit="1" customWidth="1"/>
    <col min="5" max="5" width="13" bestFit="1" customWidth="1"/>
    <col min="6" max="6" width="10.83203125" bestFit="1" customWidth="1"/>
    <col min="7" max="7" width="5.5" bestFit="1" customWidth="1"/>
  </cols>
  <sheetData>
    <row r="1" spans="1:9" x14ac:dyDescent="0.2">
      <c r="A1" s="4" t="s">
        <v>51</v>
      </c>
    </row>
    <row r="2" spans="1:9" x14ac:dyDescent="0.2">
      <c r="A2" s="4" t="s">
        <v>13</v>
      </c>
    </row>
    <row r="3" spans="1:9" x14ac:dyDescent="0.2">
      <c r="A3" s="4" t="s">
        <v>14</v>
      </c>
    </row>
    <row r="4" spans="1:9" x14ac:dyDescent="0.2">
      <c r="A4" s="4" t="s">
        <v>15</v>
      </c>
    </row>
    <row r="5" spans="1:9" x14ac:dyDescent="0.2">
      <c r="A5" s="4" t="s">
        <v>16</v>
      </c>
    </row>
    <row r="6" spans="1:9" x14ac:dyDescent="0.2">
      <c r="A6" s="4"/>
      <c r="B6" t="s">
        <v>17</v>
      </c>
    </row>
    <row r="7" spans="1:9" x14ac:dyDescent="0.2">
      <c r="A7" s="4"/>
      <c r="B7" t="s">
        <v>18</v>
      </c>
    </row>
    <row r="8" spans="1:9" x14ac:dyDescent="0.2">
      <c r="A8" s="4"/>
      <c r="B8" t="s">
        <v>19</v>
      </c>
    </row>
    <row r="9" spans="1:9" x14ac:dyDescent="0.2">
      <c r="A9" s="4" t="s">
        <v>20</v>
      </c>
    </row>
    <row r="10" spans="1:9" x14ac:dyDescent="0.2">
      <c r="B10" t="s">
        <v>21</v>
      </c>
    </row>
    <row r="11" spans="1:9" x14ac:dyDescent="0.2">
      <c r="B11" t="s">
        <v>22</v>
      </c>
    </row>
    <row r="14" spans="1:9" ht="17" thickBot="1" x14ac:dyDescent="0.25">
      <c r="A14" t="s">
        <v>23</v>
      </c>
    </row>
    <row r="15" spans="1:9" ht="17" thickBot="1" x14ac:dyDescent="0.25">
      <c r="B15" s="6" t="s">
        <v>24</v>
      </c>
      <c r="C15" s="6" t="s">
        <v>25</v>
      </c>
      <c r="D15" s="6" t="s">
        <v>26</v>
      </c>
      <c r="E15" s="6" t="s">
        <v>27</v>
      </c>
    </row>
    <row r="16" spans="1:9" ht="17" thickBot="1" x14ac:dyDescent="0.25">
      <c r="B16" s="5" t="s">
        <v>34</v>
      </c>
      <c r="C16" s="5" t="s">
        <v>35</v>
      </c>
      <c r="D16" s="8">
        <v>0</v>
      </c>
      <c r="E16" s="8">
        <v>12</v>
      </c>
      <c r="I16">
        <v>1</v>
      </c>
    </row>
    <row r="19" spans="1:7" ht="17" thickBot="1" x14ac:dyDescent="0.25">
      <c r="A19" t="s">
        <v>28</v>
      </c>
    </row>
    <row r="20" spans="1:7" ht="17" thickBot="1" x14ac:dyDescent="0.25">
      <c r="B20" s="6" t="s">
        <v>24</v>
      </c>
      <c r="C20" s="6" t="s">
        <v>25</v>
      </c>
      <c r="D20" s="6" t="s">
        <v>26</v>
      </c>
      <c r="E20" s="6" t="s">
        <v>27</v>
      </c>
      <c r="F20" s="6" t="s">
        <v>29</v>
      </c>
    </row>
    <row r="21" spans="1:7" x14ac:dyDescent="0.2">
      <c r="B21" s="7" t="s">
        <v>36</v>
      </c>
      <c r="C21" s="7" t="s">
        <v>37</v>
      </c>
      <c r="D21" s="9">
        <v>0</v>
      </c>
      <c r="E21" s="9">
        <v>0</v>
      </c>
      <c r="F21" s="7" t="s">
        <v>29</v>
      </c>
    </row>
    <row r="22" spans="1:7" ht="17" thickBot="1" x14ac:dyDescent="0.25">
      <c r="B22" s="5" t="s">
        <v>39</v>
      </c>
      <c r="C22" s="5" t="s">
        <v>40</v>
      </c>
      <c r="D22" s="8">
        <v>0</v>
      </c>
      <c r="E22" s="8">
        <v>1</v>
      </c>
      <c r="F22" s="5" t="s">
        <v>29</v>
      </c>
    </row>
    <row r="25" spans="1:7" ht="17" thickBot="1" x14ac:dyDescent="0.25">
      <c r="A25" t="s">
        <v>6</v>
      </c>
    </row>
    <row r="26" spans="1:7" ht="17" thickBot="1" x14ac:dyDescent="0.25">
      <c r="B26" s="6" t="s">
        <v>24</v>
      </c>
      <c r="C26" s="6" t="s">
        <v>25</v>
      </c>
      <c r="D26" s="6" t="s">
        <v>30</v>
      </c>
      <c r="E26" s="6" t="s">
        <v>31</v>
      </c>
      <c r="F26" s="6" t="s">
        <v>32</v>
      </c>
      <c r="G26" s="6" t="s">
        <v>33</v>
      </c>
    </row>
    <row r="27" spans="1:7" x14ac:dyDescent="0.2">
      <c r="B27" s="7" t="s">
        <v>41</v>
      </c>
      <c r="C27" s="7" t="s">
        <v>42</v>
      </c>
      <c r="D27" s="9">
        <v>10</v>
      </c>
      <c r="E27" s="7" t="s">
        <v>43</v>
      </c>
      <c r="F27" s="7" t="s">
        <v>44</v>
      </c>
      <c r="G27" s="7">
        <v>25</v>
      </c>
    </row>
    <row r="28" spans="1:7" x14ac:dyDescent="0.2">
      <c r="B28" s="7" t="s">
        <v>45</v>
      </c>
      <c r="C28" s="7" t="s">
        <v>46</v>
      </c>
      <c r="D28" s="9">
        <v>25</v>
      </c>
      <c r="E28" s="7" t="s">
        <v>47</v>
      </c>
      <c r="F28" s="7" t="s">
        <v>44</v>
      </c>
      <c r="G28" s="7">
        <v>10</v>
      </c>
    </row>
    <row r="29" spans="1:7" x14ac:dyDescent="0.2">
      <c r="B29" s="7" t="s">
        <v>48</v>
      </c>
      <c r="C29" s="7"/>
      <c r="D29" s="7"/>
      <c r="E29" s="7"/>
      <c r="F29" s="7"/>
      <c r="G29" s="7"/>
    </row>
    <row r="30" spans="1:7" ht="17" thickBot="1" x14ac:dyDescent="0.25">
      <c r="B30" s="5" t="s">
        <v>49</v>
      </c>
      <c r="C30" s="5"/>
      <c r="D30" s="5"/>
      <c r="E30" s="5"/>
      <c r="F30" s="5"/>
      <c r="G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92FA-29C3-1A46-A770-789E24A6B700}">
  <dimension ref="B5:J19"/>
  <sheetViews>
    <sheetView workbookViewId="0">
      <selection activeCell="E10" sqref="E10"/>
    </sheetView>
  </sheetViews>
  <sheetFormatPr baseColWidth="10" defaultRowHeight="16" x14ac:dyDescent="0.2"/>
  <sheetData>
    <row r="5" spans="2:10" x14ac:dyDescent="0.2">
      <c r="B5" t="s">
        <v>0</v>
      </c>
      <c r="E5" t="s">
        <v>1</v>
      </c>
      <c r="F5" t="s">
        <v>2</v>
      </c>
      <c r="I5" t="s">
        <v>3</v>
      </c>
    </row>
    <row r="6" spans="2:10" x14ac:dyDescent="0.2">
      <c r="B6" t="s">
        <v>4</v>
      </c>
      <c r="E6" s="1">
        <v>0</v>
      </c>
      <c r="F6" s="1">
        <v>1</v>
      </c>
      <c r="I6" s="2">
        <f>SUMPRODUCT(E6:F6,E8:F8)</f>
        <v>12</v>
      </c>
    </row>
    <row r="8" spans="2:10" x14ac:dyDescent="0.2">
      <c r="B8" t="s">
        <v>5</v>
      </c>
      <c r="E8">
        <v>10</v>
      </c>
      <c r="F8">
        <v>12</v>
      </c>
    </row>
    <row r="11" spans="2:10" x14ac:dyDescent="0.2">
      <c r="B11" t="s">
        <v>6</v>
      </c>
      <c r="H11" t="s">
        <v>7</v>
      </c>
      <c r="J11" t="s">
        <v>8</v>
      </c>
    </row>
    <row r="12" spans="2:10" x14ac:dyDescent="0.2">
      <c r="B12" t="s">
        <v>9</v>
      </c>
      <c r="E12">
        <v>20</v>
      </c>
      <c r="F12">
        <v>10</v>
      </c>
      <c r="H12" s="3">
        <f>SUMPRODUCT(E6:F6,E12:F12)</f>
        <v>10</v>
      </c>
      <c r="I12" t="s">
        <v>10</v>
      </c>
      <c r="J12">
        <v>35</v>
      </c>
    </row>
    <row r="13" spans="2:10" x14ac:dyDescent="0.2">
      <c r="B13" t="s">
        <v>11</v>
      </c>
      <c r="E13">
        <v>12</v>
      </c>
      <c r="F13">
        <v>25</v>
      </c>
      <c r="H13" s="3">
        <f>SUMPRODUCT(E6:F6,E13:F13)</f>
        <v>25</v>
      </c>
      <c r="I13" t="s">
        <v>10</v>
      </c>
      <c r="J13">
        <v>35</v>
      </c>
    </row>
    <row r="18" spans="2:2" x14ac:dyDescent="0.2">
      <c r="B18" t="s">
        <v>50</v>
      </c>
    </row>
    <row r="19" spans="2:2" x14ac:dyDescent="0.2">
      <c r="B19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A57B-DC61-274C-988A-C7F40B5452DE}">
  <dimension ref="A1:G31"/>
  <sheetViews>
    <sheetView showGridLines="0" workbookViewId="0"/>
  </sheetViews>
  <sheetFormatPr baseColWidth="10" defaultRowHeight="16" x14ac:dyDescent="0.2"/>
  <cols>
    <col min="1" max="1" width="2.33203125" customWidth="1"/>
    <col min="2" max="2" width="16.83203125" bestFit="1" customWidth="1"/>
    <col min="3" max="4" width="12.83203125" bestFit="1" customWidth="1"/>
    <col min="5" max="5" width="12.6640625" bestFit="1" customWidth="1"/>
    <col min="6" max="6" width="7.33203125" bestFit="1" customWidth="1"/>
    <col min="7" max="7" width="5.5" bestFit="1" customWidth="1"/>
  </cols>
  <sheetData>
    <row r="1" spans="1:5" x14ac:dyDescent="0.2">
      <c r="A1" s="4" t="s">
        <v>12</v>
      </c>
    </row>
    <row r="2" spans="1:5" x14ac:dyDescent="0.2">
      <c r="A2" s="4" t="s">
        <v>55</v>
      </c>
    </row>
    <row r="3" spans="1:5" x14ac:dyDescent="0.2">
      <c r="A3" s="4" t="s">
        <v>56</v>
      </c>
    </row>
    <row r="4" spans="1:5" x14ac:dyDescent="0.2">
      <c r="A4" s="4" t="s">
        <v>15</v>
      </c>
    </row>
    <row r="5" spans="1:5" x14ac:dyDescent="0.2">
      <c r="A5" s="4" t="s">
        <v>16</v>
      </c>
    </row>
    <row r="6" spans="1:5" x14ac:dyDescent="0.2">
      <c r="A6" s="4"/>
      <c r="B6" t="s">
        <v>17</v>
      </c>
    </row>
    <row r="7" spans="1:5" x14ac:dyDescent="0.2">
      <c r="A7" s="4"/>
      <c r="B7" t="s">
        <v>57</v>
      </c>
    </row>
    <row r="8" spans="1:5" x14ac:dyDescent="0.2">
      <c r="A8" s="4"/>
      <c r="B8" t="s">
        <v>58</v>
      </c>
    </row>
    <row r="9" spans="1:5" x14ac:dyDescent="0.2">
      <c r="A9" s="4" t="s">
        <v>20</v>
      </c>
    </row>
    <row r="10" spans="1:5" x14ac:dyDescent="0.2">
      <c r="B10" t="s">
        <v>59</v>
      </c>
    </row>
    <row r="11" spans="1:5" x14ac:dyDescent="0.2">
      <c r="B11" t="s">
        <v>22</v>
      </c>
    </row>
    <row r="14" spans="1:5" ht="17" thickBot="1" x14ac:dyDescent="0.25">
      <c r="A14" t="s">
        <v>23</v>
      </c>
    </row>
    <row r="15" spans="1:5" ht="17" thickBot="1" x14ac:dyDescent="0.25">
      <c r="B15" s="6" t="s">
        <v>24</v>
      </c>
      <c r="C15" s="6" t="s">
        <v>25</v>
      </c>
      <c r="D15" s="6" t="s">
        <v>26</v>
      </c>
      <c r="E15" s="6" t="s">
        <v>27</v>
      </c>
    </row>
    <row r="16" spans="1:5" ht="17" thickBot="1" x14ac:dyDescent="0.25">
      <c r="B16" s="5" t="s">
        <v>60</v>
      </c>
      <c r="C16" s="5" t="s">
        <v>35</v>
      </c>
      <c r="D16" s="8">
        <v>68000</v>
      </c>
      <c r="E16" s="8">
        <v>68000</v>
      </c>
    </row>
    <row r="19" spans="1:7" ht="17" thickBot="1" x14ac:dyDescent="0.25">
      <c r="A19" t="s">
        <v>28</v>
      </c>
    </row>
    <row r="20" spans="1:7" ht="17" thickBot="1" x14ac:dyDescent="0.25">
      <c r="B20" s="6" t="s">
        <v>24</v>
      </c>
      <c r="C20" s="6" t="s">
        <v>25</v>
      </c>
      <c r="D20" s="6" t="s">
        <v>26</v>
      </c>
      <c r="E20" s="6" t="s">
        <v>27</v>
      </c>
      <c r="F20" s="6" t="s">
        <v>29</v>
      </c>
    </row>
    <row r="21" spans="1:7" x14ac:dyDescent="0.2">
      <c r="B21" s="7" t="s">
        <v>39</v>
      </c>
      <c r="C21" s="7" t="s">
        <v>37</v>
      </c>
      <c r="D21" s="9">
        <v>1</v>
      </c>
      <c r="E21" s="9">
        <v>1</v>
      </c>
      <c r="F21" s="7" t="s">
        <v>29</v>
      </c>
    </row>
    <row r="22" spans="1:7" x14ac:dyDescent="0.2">
      <c r="B22" s="7" t="s">
        <v>61</v>
      </c>
      <c r="C22" s="7" t="s">
        <v>40</v>
      </c>
      <c r="D22" s="9">
        <v>2</v>
      </c>
      <c r="E22" s="9">
        <v>2</v>
      </c>
      <c r="F22" s="7" t="s">
        <v>29</v>
      </c>
    </row>
    <row r="23" spans="1:7" ht="17" thickBot="1" x14ac:dyDescent="0.25">
      <c r="B23" s="5" t="s">
        <v>62</v>
      </c>
      <c r="C23" s="5" t="s">
        <v>63</v>
      </c>
      <c r="D23" s="8">
        <v>1</v>
      </c>
      <c r="E23" s="8">
        <v>1</v>
      </c>
      <c r="F23" s="5" t="s">
        <v>29</v>
      </c>
    </row>
    <row r="26" spans="1:7" ht="17" thickBot="1" x14ac:dyDescent="0.25">
      <c r="A26" t="s">
        <v>6</v>
      </c>
    </row>
    <row r="27" spans="1:7" ht="17" thickBot="1" x14ac:dyDescent="0.25">
      <c r="B27" s="6" t="s">
        <v>24</v>
      </c>
      <c r="C27" s="6" t="s">
        <v>25</v>
      </c>
      <c r="D27" s="6" t="s">
        <v>30</v>
      </c>
      <c r="E27" s="6" t="s">
        <v>31</v>
      </c>
      <c r="F27" s="6" t="s">
        <v>32</v>
      </c>
      <c r="G27" s="6" t="s">
        <v>33</v>
      </c>
    </row>
    <row r="28" spans="1:7" x14ac:dyDescent="0.2">
      <c r="B28" s="7" t="s">
        <v>64</v>
      </c>
      <c r="C28" s="7" t="s">
        <v>42</v>
      </c>
      <c r="D28" s="9">
        <v>10</v>
      </c>
      <c r="E28" s="7" t="s">
        <v>65</v>
      </c>
      <c r="F28" s="7" t="s">
        <v>66</v>
      </c>
      <c r="G28" s="7">
        <v>0</v>
      </c>
    </row>
    <row r="29" spans="1:7" x14ac:dyDescent="0.2">
      <c r="B29" s="7" t="s">
        <v>67</v>
      </c>
      <c r="C29" s="7" t="s">
        <v>46</v>
      </c>
      <c r="D29" s="9">
        <v>10</v>
      </c>
      <c r="E29" s="7" t="s">
        <v>68</v>
      </c>
      <c r="F29" s="7" t="s">
        <v>66</v>
      </c>
      <c r="G29" s="7">
        <v>0</v>
      </c>
    </row>
    <row r="30" spans="1:7" x14ac:dyDescent="0.2">
      <c r="B30" s="7" t="s">
        <v>69</v>
      </c>
      <c r="C30" s="7" t="s">
        <v>70</v>
      </c>
      <c r="D30" s="9">
        <v>10</v>
      </c>
      <c r="E30" s="7" t="s">
        <v>71</v>
      </c>
      <c r="F30" s="7" t="s">
        <v>66</v>
      </c>
      <c r="G30" s="7">
        <v>0</v>
      </c>
    </row>
    <row r="31" spans="1:7" ht="17" thickBot="1" x14ac:dyDescent="0.25">
      <c r="B31" s="5" t="s">
        <v>72</v>
      </c>
      <c r="C31" s="5"/>
      <c r="D31" s="5"/>
      <c r="E31" s="5"/>
      <c r="F31" s="5"/>
      <c r="G3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A813-C451-BF44-BDD0-A30BD5E12062}">
  <dimension ref="B4:L15"/>
  <sheetViews>
    <sheetView workbookViewId="0">
      <selection activeCell="J7" sqref="J7"/>
    </sheetView>
  </sheetViews>
  <sheetFormatPr baseColWidth="10" defaultRowHeight="16" x14ac:dyDescent="0.2"/>
  <sheetData>
    <row r="4" spans="2:12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x14ac:dyDescent="0.2">
      <c r="B5" s="10"/>
      <c r="C5" s="10" t="s">
        <v>0</v>
      </c>
      <c r="D5" s="10"/>
      <c r="E5" s="10"/>
      <c r="F5" s="10" t="s">
        <v>1</v>
      </c>
      <c r="G5" s="10" t="s">
        <v>2</v>
      </c>
      <c r="H5" s="10" t="s">
        <v>53</v>
      </c>
      <c r="I5" s="10"/>
      <c r="J5" s="10" t="s">
        <v>3</v>
      </c>
      <c r="K5" s="10"/>
      <c r="L5" s="10"/>
    </row>
    <row r="6" spans="2:12" x14ac:dyDescent="0.2">
      <c r="B6" s="10"/>
      <c r="C6" s="10" t="s">
        <v>4</v>
      </c>
      <c r="D6" s="10"/>
      <c r="E6" s="10"/>
      <c r="F6" s="11">
        <v>1</v>
      </c>
      <c r="G6" s="11">
        <v>2</v>
      </c>
      <c r="H6" s="11">
        <v>1</v>
      </c>
      <c r="I6" s="10"/>
      <c r="J6" s="12">
        <f>SUMPRODUCT(F6:H6,F8:H8)</f>
        <v>68000</v>
      </c>
      <c r="K6" s="10"/>
      <c r="L6" s="10"/>
    </row>
    <row r="7" spans="2:12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2" x14ac:dyDescent="0.2">
      <c r="B8" s="10"/>
      <c r="C8" s="10" t="s">
        <v>5</v>
      </c>
      <c r="D8" s="10"/>
      <c r="E8" s="10"/>
      <c r="F8" s="10">
        <v>20000</v>
      </c>
      <c r="G8" s="10">
        <v>15000</v>
      </c>
      <c r="H8" s="10">
        <v>18000</v>
      </c>
      <c r="I8" s="10"/>
      <c r="J8" s="10"/>
      <c r="K8" s="10"/>
      <c r="L8" s="10"/>
    </row>
    <row r="9" spans="2:12" x14ac:dyDescent="0.2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2:12" x14ac:dyDescent="0.2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2:12" x14ac:dyDescent="0.2">
      <c r="B11" s="10"/>
      <c r="C11" s="10" t="s">
        <v>6</v>
      </c>
      <c r="D11" s="10"/>
      <c r="E11" s="10"/>
      <c r="F11" s="10"/>
      <c r="G11" s="10"/>
      <c r="H11" s="10"/>
      <c r="I11" s="10" t="s">
        <v>7</v>
      </c>
      <c r="J11" s="10"/>
      <c r="K11" s="10" t="s">
        <v>8</v>
      </c>
      <c r="L11" s="10"/>
    </row>
    <row r="12" spans="2:12" x14ac:dyDescent="0.2">
      <c r="B12" s="10"/>
      <c r="C12" s="10" t="s">
        <v>9</v>
      </c>
      <c r="D12" s="10"/>
      <c r="E12" s="10"/>
      <c r="F12" s="10">
        <v>0</v>
      </c>
      <c r="G12" s="10">
        <v>3</v>
      </c>
      <c r="H12" s="10">
        <v>4</v>
      </c>
      <c r="I12" s="13">
        <f>SUMPRODUCT(F6:H6,F12:H12)</f>
        <v>10</v>
      </c>
      <c r="J12" s="10" t="s">
        <v>10</v>
      </c>
      <c r="K12" s="10">
        <v>10</v>
      </c>
      <c r="L12" s="10"/>
    </row>
    <row r="13" spans="2:12" x14ac:dyDescent="0.2">
      <c r="B13" s="10"/>
      <c r="C13" s="10" t="s">
        <v>11</v>
      </c>
      <c r="D13" s="10"/>
      <c r="E13" s="10"/>
      <c r="F13" s="10">
        <v>5</v>
      </c>
      <c r="G13" s="10">
        <v>1</v>
      </c>
      <c r="H13" s="10">
        <v>3</v>
      </c>
      <c r="I13" s="13">
        <f>SUMPRODUCT(F6:H6,F13:H13)</f>
        <v>10</v>
      </c>
      <c r="J13" s="10" t="s">
        <v>10</v>
      </c>
      <c r="K13" s="10">
        <v>10</v>
      </c>
      <c r="L13" s="10"/>
    </row>
    <row r="14" spans="2:12" x14ac:dyDescent="0.2">
      <c r="B14" s="10"/>
      <c r="C14" s="10" t="s">
        <v>54</v>
      </c>
      <c r="D14" s="10"/>
      <c r="E14" s="10"/>
      <c r="F14" s="10">
        <v>3</v>
      </c>
      <c r="G14" s="10">
        <v>2</v>
      </c>
      <c r="H14" s="10">
        <v>3</v>
      </c>
      <c r="I14" s="13">
        <f>SUMPRODUCT(F6:H6,F14:H14)</f>
        <v>10</v>
      </c>
      <c r="J14" s="10" t="s">
        <v>10</v>
      </c>
      <c r="K14" s="10">
        <v>10</v>
      </c>
      <c r="L14" s="10"/>
    </row>
    <row r="15" spans="2:12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3E2A-30AB-C84D-8ED1-9D7CFFE7FAB7}">
  <dimension ref="C6:M17"/>
  <sheetViews>
    <sheetView workbookViewId="0">
      <selection activeCell="K8" sqref="K8"/>
    </sheetView>
  </sheetViews>
  <sheetFormatPr baseColWidth="10" defaultRowHeight="16" x14ac:dyDescent="0.2"/>
  <sheetData>
    <row r="6" spans="3:13" x14ac:dyDescent="0.2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3:13" x14ac:dyDescent="0.2">
      <c r="C7" s="10"/>
      <c r="D7" s="10" t="s">
        <v>0</v>
      </c>
      <c r="E7" s="10"/>
      <c r="F7" s="10"/>
      <c r="G7" s="10" t="s">
        <v>1</v>
      </c>
      <c r="H7" s="10" t="s">
        <v>2</v>
      </c>
      <c r="I7" s="10"/>
      <c r="J7" s="10"/>
      <c r="K7" s="10" t="s">
        <v>73</v>
      </c>
      <c r="L7" s="10"/>
      <c r="M7" s="10"/>
    </row>
    <row r="8" spans="3:13" x14ac:dyDescent="0.2">
      <c r="C8" s="10"/>
      <c r="D8" s="10" t="s">
        <v>4</v>
      </c>
      <c r="E8" s="10"/>
      <c r="F8" s="10"/>
      <c r="G8" s="11">
        <v>2</v>
      </c>
      <c r="H8" s="11">
        <v>6</v>
      </c>
      <c r="I8" s="14"/>
      <c r="J8" s="10"/>
      <c r="K8" s="12">
        <f>SUMPRODUCT(G8:H8,G10:H10)</f>
        <v>36</v>
      </c>
      <c r="L8" s="10"/>
      <c r="M8" s="10"/>
    </row>
    <row r="9" spans="3:13" x14ac:dyDescent="0.2"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3:13" x14ac:dyDescent="0.2">
      <c r="C10" s="10"/>
      <c r="D10" s="10" t="s">
        <v>5</v>
      </c>
      <c r="E10" s="10"/>
      <c r="F10" s="10"/>
      <c r="G10" s="10">
        <v>3</v>
      </c>
      <c r="H10" s="10">
        <v>5</v>
      </c>
      <c r="I10" s="10"/>
      <c r="J10" s="10"/>
      <c r="K10" s="10"/>
      <c r="L10" s="10"/>
      <c r="M10" s="10"/>
    </row>
    <row r="11" spans="3:13" x14ac:dyDescent="0.2"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3:13" x14ac:dyDescent="0.2"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3:13" x14ac:dyDescent="0.2">
      <c r="C13" s="10"/>
      <c r="D13" s="10" t="s">
        <v>6</v>
      </c>
      <c r="E13" s="10"/>
      <c r="F13" s="10"/>
      <c r="G13" s="10"/>
      <c r="H13" s="10"/>
      <c r="I13" s="10"/>
      <c r="J13" s="10" t="s">
        <v>7</v>
      </c>
      <c r="K13" s="10"/>
      <c r="L13" s="10" t="s">
        <v>8</v>
      </c>
      <c r="M13" s="10"/>
    </row>
    <row r="14" spans="3:13" x14ac:dyDescent="0.2">
      <c r="C14" s="10"/>
      <c r="D14" s="10" t="s">
        <v>9</v>
      </c>
      <c r="E14" s="10"/>
      <c r="F14" s="10"/>
      <c r="G14" s="10">
        <v>1</v>
      </c>
      <c r="H14" s="10">
        <v>0</v>
      </c>
      <c r="I14" s="10"/>
      <c r="J14" s="13">
        <f>SUMPRODUCT(G8:H8,G14:H14)</f>
        <v>2</v>
      </c>
      <c r="K14" s="10" t="s">
        <v>10</v>
      </c>
      <c r="L14" s="10">
        <v>4</v>
      </c>
      <c r="M14" s="10"/>
    </row>
    <row r="15" spans="3:13" x14ac:dyDescent="0.2">
      <c r="C15" s="10"/>
      <c r="D15" s="10" t="s">
        <v>11</v>
      </c>
      <c r="E15" s="10"/>
      <c r="F15" s="10"/>
      <c r="G15" s="10">
        <v>0</v>
      </c>
      <c r="H15" s="10">
        <v>2</v>
      </c>
      <c r="I15" s="10"/>
      <c r="J15" s="13">
        <f>SUMPRODUCT(G8:H8,G15:H15)</f>
        <v>12</v>
      </c>
      <c r="K15" s="10" t="s">
        <v>10</v>
      </c>
      <c r="L15" s="10">
        <v>12</v>
      </c>
      <c r="M15" s="10"/>
    </row>
    <row r="16" spans="3:13" x14ac:dyDescent="0.2">
      <c r="C16" s="10"/>
      <c r="D16" s="10" t="s">
        <v>54</v>
      </c>
      <c r="E16" s="10"/>
      <c r="F16" s="10"/>
      <c r="G16" s="10">
        <v>3</v>
      </c>
      <c r="H16" s="10">
        <v>2</v>
      </c>
      <c r="I16" s="10"/>
      <c r="J16" s="13">
        <f>SUMPRODUCT(G8:H8,G16:H16)</f>
        <v>18</v>
      </c>
      <c r="K16" s="10" t="s">
        <v>10</v>
      </c>
      <c r="L16" s="10">
        <v>18</v>
      </c>
      <c r="M16" s="10"/>
    </row>
    <row r="17" spans="3:13" x14ac:dyDescent="0.2"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17F6-CCDB-264B-8485-4394B536B86C}">
  <dimension ref="A1:G29"/>
  <sheetViews>
    <sheetView showGridLines="0" workbookViewId="0"/>
  </sheetViews>
  <sheetFormatPr baseColWidth="10" defaultRowHeight="16" x14ac:dyDescent="0.2"/>
  <cols>
    <col min="1" max="1" width="2.33203125" customWidth="1"/>
    <col min="2" max="2" width="5.83203125" bestFit="1" customWidth="1"/>
    <col min="3" max="3" width="11.83203125" bestFit="1" customWidth="1"/>
    <col min="4" max="4" width="12.83203125" bestFit="1" customWidth="1"/>
    <col min="5" max="5" width="12.6640625" bestFit="1" customWidth="1"/>
    <col min="6" max="6" width="10.83203125" bestFit="1" customWidth="1"/>
    <col min="7" max="7" width="5.5" bestFit="1" customWidth="1"/>
  </cols>
  <sheetData>
    <row r="1" spans="1:5" x14ac:dyDescent="0.2">
      <c r="A1" s="4" t="s">
        <v>12</v>
      </c>
    </row>
    <row r="2" spans="1:5" x14ac:dyDescent="0.2">
      <c r="A2" s="4" t="s">
        <v>74</v>
      </c>
    </row>
    <row r="3" spans="1:5" x14ac:dyDescent="0.2">
      <c r="A3" s="4" t="s">
        <v>75</v>
      </c>
    </row>
    <row r="4" spans="1:5" x14ac:dyDescent="0.2">
      <c r="A4" s="4" t="s">
        <v>15</v>
      </c>
    </row>
    <row r="5" spans="1:5" x14ac:dyDescent="0.2">
      <c r="A5" s="4" t="s">
        <v>16</v>
      </c>
    </row>
    <row r="6" spans="1:5" x14ac:dyDescent="0.2">
      <c r="A6" s="4"/>
      <c r="B6" t="s">
        <v>76</v>
      </c>
    </row>
    <row r="7" spans="1:5" x14ac:dyDescent="0.2">
      <c r="A7" s="4"/>
      <c r="B7" t="s">
        <v>77</v>
      </c>
    </row>
    <row r="8" spans="1:5" x14ac:dyDescent="0.2">
      <c r="A8" s="4"/>
      <c r="B8" t="s">
        <v>78</v>
      </c>
    </row>
    <row r="9" spans="1:5" x14ac:dyDescent="0.2">
      <c r="A9" s="4" t="s">
        <v>20</v>
      </c>
    </row>
    <row r="10" spans="1:5" x14ac:dyDescent="0.2">
      <c r="B10" t="s">
        <v>79</v>
      </c>
    </row>
    <row r="11" spans="1:5" x14ac:dyDescent="0.2">
      <c r="B11" t="s">
        <v>80</v>
      </c>
    </row>
    <row r="12" spans="1:5" x14ac:dyDescent="0.2">
      <c r="B12" t="s">
        <v>81</v>
      </c>
    </row>
    <row r="14" spans="1:5" ht="17" thickBot="1" x14ac:dyDescent="0.25">
      <c r="A14" t="s">
        <v>23</v>
      </c>
    </row>
    <row r="15" spans="1:5" ht="17" thickBot="1" x14ac:dyDescent="0.25">
      <c r="B15" s="6" t="s">
        <v>24</v>
      </c>
      <c r="C15" s="6" t="s">
        <v>25</v>
      </c>
      <c r="D15" s="6" t="s">
        <v>26</v>
      </c>
      <c r="E15" s="6" t="s">
        <v>27</v>
      </c>
    </row>
    <row r="16" spans="1:5" ht="17" thickBot="1" x14ac:dyDescent="0.25">
      <c r="B16" s="5" t="s">
        <v>82</v>
      </c>
      <c r="C16" s="5" t="s">
        <v>83</v>
      </c>
      <c r="D16" s="8">
        <v>0</v>
      </c>
      <c r="E16" s="8">
        <v>36</v>
      </c>
    </row>
    <row r="19" spans="1:7" ht="17" thickBot="1" x14ac:dyDescent="0.25">
      <c r="A19" t="s">
        <v>28</v>
      </c>
    </row>
    <row r="20" spans="1:7" ht="17" thickBot="1" x14ac:dyDescent="0.25">
      <c r="B20" s="6" t="s">
        <v>24</v>
      </c>
      <c r="C20" s="6" t="s">
        <v>25</v>
      </c>
      <c r="D20" s="6" t="s">
        <v>26</v>
      </c>
      <c r="E20" s="6" t="s">
        <v>27</v>
      </c>
      <c r="F20" s="6" t="s">
        <v>29</v>
      </c>
    </row>
    <row r="21" spans="1:7" x14ac:dyDescent="0.2">
      <c r="B21" s="7" t="s">
        <v>84</v>
      </c>
      <c r="C21" s="7" t="s">
        <v>37</v>
      </c>
      <c r="D21" s="9">
        <v>0</v>
      </c>
      <c r="E21" s="9">
        <v>2</v>
      </c>
      <c r="F21" s="7" t="s">
        <v>38</v>
      </c>
    </row>
    <row r="22" spans="1:7" ht="17" thickBot="1" x14ac:dyDescent="0.25">
      <c r="B22" s="5" t="s">
        <v>85</v>
      </c>
      <c r="C22" s="5" t="s">
        <v>40</v>
      </c>
      <c r="D22" s="8">
        <v>0</v>
      </c>
      <c r="E22" s="8">
        <v>6</v>
      </c>
      <c r="F22" s="5" t="s">
        <v>38</v>
      </c>
    </row>
    <row r="25" spans="1:7" ht="17" thickBot="1" x14ac:dyDescent="0.25">
      <c r="A25" t="s">
        <v>6</v>
      </c>
    </row>
    <row r="26" spans="1:7" ht="17" thickBot="1" x14ac:dyDescent="0.25">
      <c r="B26" s="6" t="s">
        <v>24</v>
      </c>
      <c r="C26" s="6" t="s">
        <v>25</v>
      </c>
      <c r="D26" s="6" t="s">
        <v>30</v>
      </c>
      <c r="E26" s="6" t="s">
        <v>31</v>
      </c>
      <c r="F26" s="6" t="s">
        <v>32</v>
      </c>
      <c r="G26" s="6" t="s">
        <v>33</v>
      </c>
    </row>
    <row r="27" spans="1:7" x14ac:dyDescent="0.2">
      <c r="B27" s="7" t="s">
        <v>86</v>
      </c>
      <c r="C27" s="7" t="s">
        <v>42</v>
      </c>
      <c r="D27" s="9">
        <v>2</v>
      </c>
      <c r="E27" s="7" t="s">
        <v>87</v>
      </c>
      <c r="F27" s="7" t="s">
        <v>44</v>
      </c>
      <c r="G27" s="7">
        <v>2</v>
      </c>
    </row>
    <row r="28" spans="1:7" x14ac:dyDescent="0.2">
      <c r="B28" s="7" t="s">
        <v>88</v>
      </c>
      <c r="C28" s="7" t="s">
        <v>46</v>
      </c>
      <c r="D28" s="9">
        <v>12</v>
      </c>
      <c r="E28" s="7" t="s">
        <v>89</v>
      </c>
      <c r="F28" s="7" t="s">
        <v>66</v>
      </c>
      <c r="G28" s="7">
        <v>0</v>
      </c>
    </row>
    <row r="29" spans="1:7" ht="17" thickBot="1" x14ac:dyDescent="0.25">
      <c r="B29" s="5" t="s">
        <v>90</v>
      </c>
      <c r="C29" s="5" t="s">
        <v>70</v>
      </c>
      <c r="D29" s="8">
        <v>18</v>
      </c>
      <c r="E29" s="5" t="s">
        <v>91</v>
      </c>
      <c r="F29" s="5" t="s">
        <v>66</v>
      </c>
      <c r="G2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20CF-DA70-6F41-9F58-F5EE0E2CF8CA}">
  <dimension ref="A1:E17"/>
  <sheetViews>
    <sheetView showGridLines="0" tabSelected="1" workbookViewId="0">
      <selection sqref="A1:A3"/>
    </sheetView>
  </sheetViews>
  <sheetFormatPr baseColWidth="10" defaultRowHeight="16" x14ac:dyDescent="0.2"/>
  <cols>
    <col min="1" max="1" width="2.33203125" customWidth="1"/>
    <col min="2" max="2" width="5.83203125" bestFit="1" customWidth="1"/>
    <col min="3" max="3" width="10.1640625" bestFit="1" customWidth="1"/>
    <col min="4" max="4" width="5.83203125" bestFit="1" customWidth="1"/>
    <col min="5" max="5" width="9.1640625" bestFit="1" customWidth="1"/>
  </cols>
  <sheetData>
    <row r="1" spans="1:5" x14ac:dyDescent="0.2">
      <c r="A1" s="4" t="s">
        <v>92</v>
      </c>
    </row>
    <row r="2" spans="1:5" x14ac:dyDescent="0.2">
      <c r="A2" s="4" t="s">
        <v>74</v>
      </c>
    </row>
    <row r="3" spans="1:5" x14ac:dyDescent="0.2">
      <c r="A3" s="4" t="s">
        <v>75</v>
      </c>
    </row>
    <row r="6" spans="1:5" ht="17" thickBot="1" x14ac:dyDescent="0.25">
      <c r="A6" t="s">
        <v>28</v>
      </c>
    </row>
    <row r="7" spans="1:5" x14ac:dyDescent="0.2">
      <c r="B7" s="15"/>
      <c r="C7" s="15"/>
      <c r="D7" s="15" t="s">
        <v>93</v>
      </c>
      <c r="E7" s="15" t="s">
        <v>95</v>
      </c>
    </row>
    <row r="8" spans="1:5" ht="17" thickBot="1" x14ac:dyDescent="0.25">
      <c r="B8" s="16" t="s">
        <v>24</v>
      </c>
      <c r="C8" s="16" t="s">
        <v>25</v>
      </c>
      <c r="D8" s="16" t="s">
        <v>94</v>
      </c>
      <c r="E8" s="16" t="s">
        <v>96</v>
      </c>
    </row>
    <row r="9" spans="1:5" x14ac:dyDescent="0.2">
      <c r="B9" s="7" t="s">
        <v>84</v>
      </c>
      <c r="C9" s="7" t="s">
        <v>37</v>
      </c>
      <c r="D9" s="7">
        <v>2</v>
      </c>
      <c r="E9" s="7">
        <v>0</v>
      </c>
    </row>
    <row r="10" spans="1:5" ht="17" thickBot="1" x14ac:dyDescent="0.25">
      <c r="B10" s="5" t="s">
        <v>85</v>
      </c>
      <c r="C10" s="5" t="s">
        <v>40</v>
      </c>
      <c r="D10" s="5">
        <v>6</v>
      </c>
      <c r="E10" s="5">
        <v>0</v>
      </c>
    </row>
    <row r="12" spans="1:5" ht="17" thickBot="1" x14ac:dyDescent="0.25">
      <c r="A12" t="s">
        <v>6</v>
      </c>
    </row>
    <row r="13" spans="1:5" x14ac:dyDescent="0.2">
      <c r="B13" s="15"/>
      <c r="C13" s="15"/>
      <c r="D13" s="15" t="s">
        <v>93</v>
      </c>
      <c r="E13" s="15" t="s">
        <v>97</v>
      </c>
    </row>
    <row r="14" spans="1:5" ht="17" thickBot="1" x14ac:dyDescent="0.25">
      <c r="B14" s="16" t="s">
        <v>24</v>
      </c>
      <c r="C14" s="16" t="s">
        <v>25</v>
      </c>
      <c r="D14" s="16" t="s">
        <v>94</v>
      </c>
      <c r="E14" s="16" t="s">
        <v>98</v>
      </c>
    </row>
    <row r="15" spans="1:5" x14ac:dyDescent="0.2">
      <c r="B15" s="7" t="s">
        <v>86</v>
      </c>
      <c r="C15" s="7" t="s">
        <v>42</v>
      </c>
      <c r="D15" s="7">
        <v>2</v>
      </c>
      <c r="E15" s="7">
        <v>0</v>
      </c>
    </row>
    <row r="16" spans="1:5" x14ac:dyDescent="0.2">
      <c r="B16" s="7" t="s">
        <v>88</v>
      </c>
      <c r="C16" s="7" t="s">
        <v>46</v>
      </c>
      <c r="D16" s="7">
        <v>12</v>
      </c>
      <c r="E16" s="7">
        <v>1.5</v>
      </c>
    </row>
    <row r="17" spans="2:5" ht="17" thickBot="1" x14ac:dyDescent="0.25">
      <c r="B17" s="5" t="s">
        <v>90</v>
      </c>
      <c r="C17" s="5" t="s">
        <v>70</v>
      </c>
      <c r="D17" s="5">
        <v>18</v>
      </c>
      <c r="E17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A12C-1763-DE42-8157-2F612689F2C5}">
  <dimension ref="A1:J14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5" bestFit="1" customWidth="1"/>
    <col min="3" max="3" width="11.8320312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4" t="s">
        <v>99</v>
      </c>
    </row>
    <row r="2" spans="1:10" x14ac:dyDescent="0.2">
      <c r="A2" s="4" t="s">
        <v>74</v>
      </c>
    </row>
    <row r="3" spans="1:10" x14ac:dyDescent="0.2">
      <c r="A3" s="4" t="s">
        <v>75</v>
      </c>
    </row>
    <row r="5" spans="1:10" ht="17" thickBot="1" x14ac:dyDescent="0.25"/>
    <row r="6" spans="1:10" x14ac:dyDescent="0.2">
      <c r="B6" s="15"/>
      <c r="C6" s="15" t="s">
        <v>100</v>
      </c>
      <c r="D6" s="15"/>
    </row>
    <row r="7" spans="1:10" ht="17" thickBot="1" x14ac:dyDescent="0.25">
      <c r="B7" s="16" t="s">
        <v>24</v>
      </c>
      <c r="C7" s="16" t="s">
        <v>25</v>
      </c>
      <c r="D7" s="16" t="s">
        <v>94</v>
      </c>
    </row>
    <row r="8" spans="1:10" ht="17" thickBot="1" x14ac:dyDescent="0.25">
      <c r="B8" s="5" t="s">
        <v>82</v>
      </c>
      <c r="C8" s="5" t="s">
        <v>83</v>
      </c>
      <c r="D8" s="8">
        <v>36</v>
      </c>
    </row>
    <row r="10" spans="1:10" ht="17" thickBot="1" x14ac:dyDescent="0.25"/>
    <row r="11" spans="1:10" x14ac:dyDescent="0.2">
      <c r="B11" s="15"/>
      <c r="C11" s="15" t="s">
        <v>101</v>
      </c>
      <c r="D11" s="15"/>
      <c r="F11" s="15" t="s">
        <v>102</v>
      </c>
      <c r="G11" s="15" t="s">
        <v>100</v>
      </c>
      <c r="I11" s="15" t="s">
        <v>105</v>
      </c>
      <c r="J11" s="15" t="s">
        <v>100</v>
      </c>
    </row>
    <row r="12" spans="1:10" ht="17" thickBot="1" x14ac:dyDescent="0.25">
      <c r="B12" s="16" t="s">
        <v>24</v>
      </c>
      <c r="C12" s="16" t="s">
        <v>25</v>
      </c>
      <c r="D12" s="16" t="s">
        <v>94</v>
      </c>
      <c r="F12" s="16" t="s">
        <v>103</v>
      </c>
      <c r="G12" s="16" t="s">
        <v>104</v>
      </c>
      <c r="I12" s="16" t="s">
        <v>103</v>
      </c>
      <c r="J12" s="16" t="s">
        <v>104</v>
      </c>
    </row>
    <row r="13" spans="1:10" x14ac:dyDescent="0.2">
      <c r="B13" s="7" t="s">
        <v>84</v>
      </c>
      <c r="C13" s="7" t="s">
        <v>37</v>
      </c>
      <c r="D13" s="9">
        <v>2</v>
      </c>
      <c r="F13" s="9">
        <v>0</v>
      </c>
      <c r="G13" s="9">
        <v>85</v>
      </c>
      <c r="I13" s="9">
        <v>250</v>
      </c>
      <c r="J13" s="9">
        <v>18835</v>
      </c>
    </row>
    <row r="14" spans="1:10" ht="17" thickBot="1" x14ac:dyDescent="0.25">
      <c r="B14" s="5" t="s">
        <v>85</v>
      </c>
      <c r="C14" s="5" t="s">
        <v>40</v>
      </c>
      <c r="D14" s="8">
        <v>6</v>
      </c>
      <c r="F14" s="8">
        <v>0</v>
      </c>
      <c r="G14" s="8">
        <v>110</v>
      </c>
      <c r="I14" s="8">
        <v>398.5</v>
      </c>
      <c r="J14" s="8">
        <v>20035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Answer1</vt:lpstr>
      <vt:lpstr>QUESTION1</vt:lpstr>
      <vt:lpstr>Answer2</vt:lpstr>
      <vt:lpstr>QUESTION2</vt:lpstr>
      <vt:lpstr>QUESTION3</vt:lpstr>
      <vt:lpstr>QUESTION3Report</vt:lpstr>
      <vt:lpstr>QUESTION3Sensitivity</vt:lpstr>
      <vt:lpstr>QUESTION3Limits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2026-04-30T15:42:01Z</dcterms:created>
  <dcterms:modified xsi:type="dcterms:W3CDTF">2026-04-30T16:05:45Z</dcterms:modified>
</cp:coreProperties>
</file>