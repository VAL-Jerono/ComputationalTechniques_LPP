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wnloads/"/>
    </mc:Choice>
  </mc:AlternateContent>
  <xr:revisionPtr revIDLastSave="0" documentId="8_{50C57B91-0700-5245-88CA-94B5621CBEDC}" xr6:coauthVersionLast="47" xr6:coauthVersionMax="47" xr10:uidLastSave="{00000000-0000-0000-0000-000000000000}"/>
  <bookViews>
    <workbookView xWindow="11980" yWindow="1000" windowWidth="16440" windowHeight="15760" firstSheet="2" activeTab="7" xr2:uid="{59664990-EFE9-8A40-B911-F75AD458AEEB}"/>
  </bookViews>
  <sheets>
    <sheet name="Answer Report 1" sheetId="2" r:id="rId1"/>
    <sheet name="Sensitivity Report 1" sheetId="3" r:id="rId2"/>
    <sheet name="Limits Report 1" sheetId="4" r:id="rId3"/>
    <sheet name="Sheet1" sheetId="1" r:id="rId4"/>
    <sheet name="Answer Report 2" sheetId="6" r:id="rId5"/>
    <sheet name="Sensitivity Report 2" sheetId="7" r:id="rId6"/>
    <sheet name="Limits Report 2" sheetId="8" r:id="rId7"/>
    <sheet name="Sheet5" sheetId="5" r:id="rId8"/>
  </sheets>
  <definedNames>
    <definedName name="solver_adj" localSheetId="3" hidden="1">Sheet1!$E$6:$F$6</definedName>
    <definedName name="solver_adj" localSheetId="7" hidden="1">Sheet5!$E$7:$F$7</definedName>
    <definedName name="solver_cvg" localSheetId="3" hidden="1">0.0001</definedName>
    <definedName name="solver_cvg" localSheetId="7" hidden="1">0.0001</definedName>
    <definedName name="solver_drv" localSheetId="3" hidden="1">1</definedName>
    <definedName name="solver_drv" localSheetId="7" hidden="1">1</definedName>
    <definedName name="solver_eng" localSheetId="3" hidden="1">2</definedName>
    <definedName name="solver_eng" localSheetId="7" hidden="1">2</definedName>
    <definedName name="solver_itr" localSheetId="3" hidden="1">2147483647</definedName>
    <definedName name="solver_itr" localSheetId="7" hidden="1">2147483647</definedName>
    <definedName name="solver_lhs1" localSheetId="3" hidden="1">Sheet1!$E$6:$F$6</definedName>
    <definedName name="solver_lhs1" localSheetId="7" hidden="1">Sheet5!$H$13:$H$14</definedName>
    <definedName name="solver_lhs2" localSheetId="3" hidden="1">Sheet1!$H$12:$H$14</definedName>
    <definedName name="solver_lin" localSheetId="3" hidden="1">1</definedName>
    <definedName name="solver_lin" localSheetId="7" hidden="1">1</definedName>
    <definedName name="solver_mip" localSheetId="3" hidden="1">2147483647</definedName>
    <definedName name="solver_mip" localSheetId="7" hidden="1">2147483647</definedName>
    <definedName name="solver_mni" localSheetId="3" hidden="1">30</definedName>
    <definedName name="solver_mni" localSheetId="7" hidden="1">30</definedName>
    <definedName name="solver_mrt" localSheetId="3" hidden="1">0.075</definedName>
    <definedName name="solver_mrt" localSheetId="7" hidden="1">0.075</definedName>
    <definedName name="solver_msl" localSheetId="3" hidden="1">2</definedName>
    <definedName name="solver_msl" localSheetId="7" hidden="1">2</definedName>
    <definedName name="solver_neg" localSheetId="3" hidden="1">1</definedName>
    <definedName name="solver_neg" localSheetId="7" hidden="1">1</definedName>
    <definedName name="solver_nod" localSheetId="3" hidden="1">2147483647</definedName>
    <definedName name="solver_nod" localSheetId="7" hidden="1">2147483647</definedName>
    <definedName name="solver_num" localSheetId="3" hidden="1">2</definedName>
    <definedName name="solver_num" localSheetId="7" hidden="1">1</definedName>
    <definedName name="solver_opt" localSheetId="3" hidden="1">Sheet1!$I$6</definedName>
    <definedName name="solver_opt" localSheetId="7" hidden="1">Sheet5!$I$7</definedName>
    <definedName name="solver_pre" localSheetId="3" hidden="1">0.000001</definedName>
    <definedName name="solver_pre" localSheetId="7" hidden="1">0.000001</definedName>
    <definedName name="solver_rbv" localSheetId="3" hidden="1">1</definedName>
    <definedName name="solver_rbv" localSheetId="7" hidden="1">1</definedName>
    <definedName name="solver_rel1" localSheetId="3" hidden="1">4</definedName>
    <definedName name="solver_rel1" localSheetId="7" hidden="1">3</definedName>
    <definedName name="solver_rel2" localSheetId="3" hidden="1">3</definedName>
    <definedName name="solver_rhs1" localSheetId="3" hidden="1">"integer"</definedName>
    <definedName name="solver_rhs1" localSheetId="7" hidden="1">Sheet5!$J$13:$J$14</definedName>
    <definedName name="solver_rhs2" localSheetId="3" hidden="1">Sheet1!$J$12:$J$14</definedName>
    <definedName name="solver_rlx" localSheetId="3" hidden="1">1</definedName>
    <definedName name="solver_rlx" localSheetId="7" hidden="1">2</definedName>
    <definedName name="solver_rsd" localSheetId="3" hidden="1">0</definedName>
    <definedName name="solver_rsd" localSheetId="7" hidden="1">0</definedName>
    <definedName name="solver_scl" localSheetId="3" hidden="1">2</definedName>
    <definedName name="solver_scl" localSheetId="7" hidden="1">1</definedName>
    <definedName name="solver_sho" localSheetId="3" hidden="1">2</definedName>
    <definedName name="solver_sho" localSheetId="7" hidden="1">2</definedName>
    <definedName name="solver_ssz" localSheetId="3" hidden="1">100</definedName>
    <definedName name="solver_ssz" localSheetId="7" hidden="1">100</definedName>
    <definedName name="solver_tim" localSheetId="3" hidden="1">2147483647</definedName>
    <definedName name="solver_tim" localSheetId="7" hidden="1">2147483647</definedName>
    <definedName name="solver_tol" localSheetId="3" hidden="1">0.01</definedName>
    <definedName name="solver_tol" localSheetId="7" hidden="1">0.01</definedName>
    <definedName name="solver_typ" localSheetId="3" hidden="1">2</definedName>
    <definedName name="solver_typ" localSheetId="7" hidden="1">2</definedName>
    <definedName name="solver_val" localSheetId="3" hidden="1">0</definedName>
    <definedName name="solver_val" localSheetId="7" hidden="1">0</definedName>
    <definedName name="solver_ver" localSheetId="3" hidden="1">2</definedName>
    <definedName name="solver_ver" localSheetId="7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5" l="1"/>
  <c r="H13" i="5"/>
  <c r="I7" i="5"/>
  <c r="H14" i="1"/>
  <c r="H13" i="1"/>
  <c r="H12" i="1"/>
  <c r="I6" i="1"/>
</calcChain>
</file>

<file path=xl/sharedStrings.xml><?xml version="1.0" encoding="utf-8"?>
<sst xmlns="http://schemas.openxmlformats.org/spreadsheetml/2006/main" count="249" uniqueCount="83">
  <si>
    <t>Variables</t>
  </si>
  <si>
    <t>x1</t>
  </si>
  <si>
    <t>x2</t>
  </si>
  <si>
    <t>Min</t>
  </si>
  <si>
    <t>Solution</t>
  </si>
  <si>
    <t>Obj Fn Coeff</t>
  </si>
  <si>
    <t>Constraints</t>
  </si>
  <si>
    <t>LHS</t>
  </si>
  <si>
    <t>RHS</t>
  </si>
  <si>
    <t>Const1</t>
  </si>
  <si>
    <t>&gt;=</t>
  </si>
  <si>
    <t>Const2</t>
  </si>
  <si>
    <t>Const3</t>
  </si>
  <si>
    <t>Microsoft Excel 16.78 Answer Report</t>
  </si>
  <si>
    <t>Worksheet: [Book6]Sheet1</t>
  </si>
  <si>
    <t>Report Created: 30/04/2026 17:03:58</t>
  </si>
  <si>
    <t>Result: Solver found a solution.  All constraints and optimality conditions are satisfied.</t>
  </si>
  <si>
    <t>Solver Engine</t>
  </si>
  <si>
    <t>Engine: Simplex LP</t>
  </si>
  <si>
    <t>Solution Time: 501.106 Seconds.</t>
  </si>
  <si>
    <t>Iterations: 3 Subproblems: 0</t>
  </si>
  <si>
    <t>Solver Options</t>
  </si>
  <si>
    <t>Max Time Unlimited, Iterations Unlimited, Precision 0.000001</t>
  </si>
  <si>
    <t>Max Subproblems Unlimited, Max Integer Sols Unlimited, Integer Tolerance 1%, Solve Without Integer Constraints,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</si>
  <si>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</si>
  <si>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</si>
  <si>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</si>
  <si>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</si>
  <si>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</si>
  <si>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</si>
  <si>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</si>
  <si>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</si>
  <si>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</si>
  <si>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</si>
  <si>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</si>
  <si>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$I$6</t>
  </si>
  <si>
    <t>Solution Min</t>
  </si>
  <si>
    <t>$E$6</t>
  </si>
  <si>
    <t>Solution x1</t>
  </si>
  <si>
    <t>Contin</t>
  </si>
  <si>
    <t>$F$6</t>
  </si>
  <si>
    <t>Solution x2</t>
  </si>
  <si>
    <t>$H$12</t>
  </si>
  <si>
    <t>Const1 LHS</t>
  </si>
  <si>
    <t>$H$12&gt;=$J$12</t>
  </si>
  <si>
    <t>Binding</t>
  </si>
  <si>
    <t>$H$13</t>
  </si>
  <si>
    <t>Const2 LHS</t>
  </si>
  <si>
    <t>$H$13&gt;=$J$13</t>
  </si>
  <si>
    <t>Not Binding</t>
  </si>
  <si>
    <t>$H$14</t>
  </si>
  <si>
    <t>Const3 LHS</t>
  </si>
  <si>
    <t>$H$14&gt;=$J$14</t>
  </si>
  <si>
    <t>$E$6:$F$6=Integer</t>
  </si>
  <si>
    <t>Microsoft Excel 16.78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</si>
  <si>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</si>
  <si>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</si>
  <si>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</si>
  <si>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</si>
  <si>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</si>
  <si>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</si>
  <si>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</si>
  <si>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</si>
  <si>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</si>
  <si>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</si>
  <si>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</si>
  <si>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</si>
  <si>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</si>
  <si>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Microsoft Excel 16.78 Limits Report</t>
  </si>
  <si>
    <t>Variable</t>
  </si>
  <si>
    <t>Lower</t>
  </si>
  <si>
    <t>Limit</t>
  </si>
  <si>
    <t>Result</t>
  </si>
  <si>
    <t>Upper</t>
  </si>
  <si>
    <t>Worksheet: [Book6]Sheet5</t>
  </si>
  <si>
    <t>Report Created: 30/04/2026 17:10:24</t>
  </si>
  <si>
    <t>Solution Time: 517.17 Seconds.</t>
  </si>
  <si>
    <t>Max Time Unlimited, Iterations Unlimited, Precision 1E-06, Use Automatic Scaling</t>
  </si>
  <si>
    <t>Max Subproblems Unlimited, Max Integer Sols Unlimited, Integer Tolerance 1%, Assume NonNegative</t>
  </si>
  <si>
    <t>$I$7</t>
  </si>
  <si>
    <t>$E$7</t>
  </si>
  <si>
    <t>$F$7</t>
  </si>
  <si>
    <t>Report Created: 30/04/2026 17:10:25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</si>
</sst>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D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96F3-7740-4740-BFE0-BE7D55F77398}">
  <dimension ref="A1:G30"/>
  <sheetViews>
    <sheetView showGridLines="0" workbookViewId="0"/>
  </sheetViews>
  <sheetFormatPr baseColWidth="10" defaultRowHeight="16" x14ac:dyDescent="0.2"/>
  <cols>
    <col min="1" max="1" width="2.33203125" customWidth="1"/>
    <col min="2" max="2" width="16.6640625" bestFit="1" customWidth="1"/>
    <col min="3" max="3" width="11.5" bestFit="1" customWidth="1"/>
    <col min="4" max="4" width="12.83203125" bestFit="1" customWidth="1"/>
    <col min="5" max="5" width="13" bestFit="1" customWidth="1"/>
    <col min="6" max="6" width="10.83203125" bestFit="1" customWidth="1"/>
    <col min="7" max="7" width="5.5" bestFit="1" customWidth="1"/>
  </cols>
  <sheetData>
    <row r="1" spans="1:5" x14ac:dyDescent="0.2">
      <c r="A1" s="4" t="s">
        <v>13</v>
      </c>
    </row>
    <row r="2" spans="1:5" x14ac:dyDescent="0.2">
      <c r="A2" s="4" t="s">
        <v>14</v>
      </c>
    </row>
    <row r="3" spans="1:5" x14ac:dyDescent="0.2">
      <c r="A3" s="4" t="s">
        <v>15</v>
      </c>
    </row>
    <row r="4" spans="1:5" x14ac:dyDescent="0.2">
      <c r="A4" s="4" t="s">
        <v>16</v>
      </c>
    </row>
    <row r="5" spans="1:5" x14ac:dyDescent="0.2">
      <c r="A5" s="4" t="s">
        <v>17</v>
      </c>
    </row>
    <row r="6" spans="1:5" x14ac:dyDescent="0.2">
      <c r="A6" s="4"/>
      <c r="B6" t="s">
        <v>18</v>
      </c>
    </row>
    <row r="7" spans="1:5" x14ac:dyDescent="0.2">
      <c r="A7" s="4"/>
      <c r="B7" t="s">
        <v>19</v>
      </c>
    </row>
    <row r="8" spans="1:5" x14ac:dyDescent="0.2">
      <c r="A8" s="4"/>
      <c r="B8" t="s">
        <v>20</v>
      </c>
    </row>
    <row r="9" spans="1:5" x14ac:dyDescent="0.2">
      <c r="A9" s="4" t="s">
        <v>21</v>
      </c>
    </row>
    <row r="10" spans="1:5" x14ac:dyDescent="0.2">
      <c r="B10" t="s">
        <v>22</v>
      </c>
    </row>
    <row r="11" spans="1:5" x14ac:dyDescent="0.2">
      <c r="B11" t="s">
        <v>23</v>
      </c>
    </row>
    <row r="14" spans="1:5" ht="17" thickBot="1" x14ac:dyDescent="0.25">
      <c r="A14" t="s">
        <v>24</v>
      </c>
    </row>
    <row r="15" spans="1:5" ht="17" thickBot="1" x14ac:dyDescent="0.25">
      <c r="B15" s="6" t="s">
        <v>25</v>
      </c>
      <c r="C15" s="6" t="s">
        <v>26</v>
      </c>
      <c r="D15" s="6" t="s">
        <v>27</v>
      </c>
      <c r="E15" s="6" t="s">
        <v>28</v>
      </c>
    </row>
    <row r="16" spans="1:5" ht="17" thickBot="1" x14ac:dyDescent="0.25">
      <c r="B16" s="5" t="s">
        <v>35</v>
      </c>
      <c r="C16" s="5" t="s">
        <v>36</v>
      </c>
      <c r="D16" s="8">
        <v>0</v>
      </c>
      <c r="E16" s="8">
        <v>0.65999999999999992</v>
      </c>
    </row>
    <row r="19" spans="1:7" ht="17" thickBot="1" x14ac:dyDescent="0.25">
      <c r="A19" t="s">
        <v>29</v>
      </c>
    </row>
    <row r="20" spans="1:7" ht="17" thickBot="1" x14ac:dyDescent="0.25">
      <c r="B20" s="6" t="s">
        <v>25</v>
      </c>
      <c r="C20" s="6" t="s">
        <v>26</v>
      </c>
      <c r="D20" s="6" t="s">
        <v>27</v>
      </c>
      <c r="E20" s="6" t="s">
        <v>28</v>
      </c>
      <c r="F20" s="6" t="s">
        <v>30</v>
      </c>
    </row>
    <row r="21" spans="1:7" x14ac:dyDescent="0.2">
      <c r="B21" s="7" t="s">
        <v>37</v>
      </c>
      <c r="C21" s="7" t="s">
        <v>38</v>
      </c>
      <c r="D21" s="9">
        <v>0</v>
      </c>
      <c r="E21" s="9">
        <v>3</v>
      </c>
      <c r="F21" s="7" t="s">
        <v>30</v>
      </c>
    </row>
    <row r="22" spans="1:7" ht="17" thickBot="1" x14ac:dyDescent="0.25">
      <c r="B22" s="5" t="s">
        <v>40</v>
      </c>
      <c r="C22" s="5" t="s">
        <v>41</v>
      </c>
      <c r="D22" s="8">
        <v>0</v>
      </c>
      <c r="E22" s="8">
        <v>2</v>
      </c>
      <c r="F22" s="5" t="s">
        <v>30</v>
      </c>
    </row>
    <row r="25" spans="1:7" ht="17" thickBot="1" x14ac:dyDescent="0.25">
      <c r="A25" t="s">
        <v>6</v>
      </c>
    </row>
    <row r="26" spans="1:7" ht="17" thickBot="1" x14ac:dyDescent="0.25">
      <c r="B26" s="6" t="s">
        <v>25</v>
      </c>
      <c r="C26" s="6" t="s">
        <v>26</v>
      </c>
      <c r="D26" s="6" t="s">
        <v>31</v>
      </c>
      <c r="E26" s="6" t="s">
        <v>32</v>
      </c>
      <c r="F26" s="6" t="s">
        <v>33</v>
      </c>
      <c r="G26" s="6" t="s">
        <v>34</v>
      </c>
    </row>
    <row r="27" spans="1:7" x14ac:dyDescent="0.2">
      <c r="B27" s="7" t="s">
        <v>42</v>
      </c>
      <c r="C27" s="7" t="s">
        <v>43</v>
      </c>
      <c r="D27" s="9">
        <v>300</v>
      </c>
      <c r="E27" s="7" t="s">
        <v>44</v>
      </c>
      <c r="F27" s="7" t="s">
        <v>45</v>
      </c>
      <c r="G27" s="9">
        <v>0</v>
      </c>
    </row>
    <row r="28" spans="1:7" x14ac:dyDescent="0.2">
      <c r="B28" s="7" t="s">
        <v>46</v>
      </c>
      <c r="C28" s="7" t="s">
        <v>47</v>
      </c>
      <c r="D28" s="9">
        <v>48</v>
      </c>
      <c r="E28" s="7" t="s">
        <v>48</v>
      </c>
      <c r="F28" s="7" t="s">
        <v>49</v>
      </c>
      <c r="G28" s="9">
        <v>12</v>
      </c>
    </row>
    <row r="29" spans="1:7" x14ac:dyDescent="0.2">
      <c r="B29" s="7" t="s">
        <v>50</v>
      </c>
      <c r="C29" s="7" t="s">
        <v>51</v>
      </c>
      <c r="D29" s="9">
        <v>90</v>
      </c>
      <c r="E29" s="7" t="s">
        <v>52</v>
      </c>
      <c r="F29" s="7" t="s">
        <v>45</v>
      </c>
      <c r="G29" s="9">
        <v>0</v>
      </c>
    </row>
    <row r="30" spans="1:7" ht="17" thickBot="1" x14ac:dyDescent="0.25">
      <c r="B30" s="5" t="s">
        <v>53</v>
      </c>
      <c r="C30" s="5"/>
      <c r="D30" s="5"/>
      <c r="E30" s="5"/>
      <c r="F30" s="5"/>
      <c r="G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8C64-5B54-CB43-B3DD-CB263369EC1F}">
  <dimension ref="A1:H17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0.1640625" bestFit="1" customWidth="1"/>
    <col min="4" max="4" width="5.83203125" bestFit="1" customWidth="1"/>
    <col min="5" max="5" width="8.1640625" bestFit="1" customWidth="1"/>
    <col min="6" max="6" width="10" bestFit="1" customWidth="1"/>
    <col min="7" max="8" width="9.33203125" bestFit="1" customWidth="1"/>
  </cols>
  <sheetData>
    <row r="1" spans="1:8" x14ac:dyDescent="0.2">
      <c r="A1" s="4" t="s">
        <v>54</v>
      </c>
    </row>
    <row r="2" spans="1:8" x14ac:dyDescent="0.2">
      <c r="A2" s="4" t="s">
        <v>14</v>
      </c>
    </row>
    <row r="3" spans="1:8" x14ac:dyDescent="0.2">
      <c r="A3" s="4" t="s">
        <v>15</v>
      </c>
    </row>
    <row r="6" spans="1:8" ht="17" thickBot="1" x14ac:dyDescent="0.25">
      <c r="A6" t="s">
        <v>29</v>
      </c>
    </row>
    <row r="7" spans="1:8" x14ac:dyDescent="0.2">
      <c r="B7" s="10"/>
      <c r="C7" s="10"/>
      <c r="D7" s="10" t="s">
        <v>55</v>
      </c>
      <c r="E7" s="10" t="s">
        <v>57</v>
      </c>
      <c r="F7" s="10" t="s">
        <v>59</v>
      </c>
      <c r="G7" s="10" t="s">
        <v>61</v>
      </c>
      <c r="H7" s="10" t="s">
        <v>61</v>
      </c>
    </row>
    <row r="8" spans="1:8" ht="17" thickBot="1" x14ac:dyDescent="0.25">
      <c r="B8" s="11" t="s">
        <v>25</v>
      </c>
      <c r="C8" s="11" t="s">
        <v>26</v>
      </c>
      <c r="D8" s="11" t="s">
        <v>56</v>
      </c>
      <c r="E8" s="11" t="s">
        <v>58</v>
      </c>
      <c r="F8" s="11" t="s">
        <v>60</v>
      </c>
      <c r="G8" s="11" t="s">
        <v>62</v>
      </c>
      <c r="H8" s="11" t="s">
        <v>63</v>
      </c>
    </row>
    <row r="9" spans="1:8" x14ac:dyDescent="0.2">
      <c r="B9" s="7" t="s">
        <v>37</v>
      </c>
      <c r="C9" s="7" t="s">
        <v>38</v>
      </c>
      <c r="D9" s="7">
        <v>3</v>
      </c>
      <c r="E9" s="7">
        <v>0</v>
      </c>
      <c r="F9" s="7">
        <v>0.12</v>
      </c>
      <c r="G9" s="7">
        <v>3.0000000000000027E-2</v>
      </c>
      <c r="H9" s="7">
        <v>6.9999999999999993E-2</v>
      </c>
    </row>
    <row r="10" spans="1:8" ht="17" thickBot="1" x14ac:dyDescent="0.25">
      <c r="B10" s="5" t="s">
        <v>40</v>
      </c>
      <c r="C10" s="5" t="s">
        <v>41</v>
      </c>
      <c r="D10" s="5">
        <v>2</v>
      </c>
      <c r="E10" s="5">
        <v>0</v>
      </c>
      <c r="F10" s="5">
        <v>0.15000000000000002</v>
      </c>
      <c r="G10" s="5">
        <v>0.21</v>
      </c>
      <c r="H10" s="5">
        <v>3.0000000000000027E-2</v>
      </c>
    </row>
    <row r="12" spans="1:8" ht="17" thickBot="1" x14ac:dyDescent="0.25">
      <c r="A12" t="s">
        <v>6</v>
      </c>
    </row>
    <row r="13" spans="1:8" x14ac:dyDescent="0.2">
      <c r="B13" s="10"/>
      <c r="C13" s="10"/>
      <c r="D13" s="10" t="s">
        <v>55</v>
      </c>
      <c r="E13" s="10" t="s">
        <v>64</v>
      </c>
      <c r="F13" s="10" t="s">
        <v>66</v>
      </c>
      <c r="G13" s="10" t="s">
        <v>61</v>
      </c>
      <c r="H13" s="10" t="s">
        <v>61</v>
      </c>
    </row>
    <row r="14" spans="1:8" ht="17" thickBot="1" x14ac:dyDescent="0.25">
      <c r="B14" s="11" t="s">
        <v>25</v>
      </c>
      <c r="C14" s="11" t="s">
        <v>26</v>
      </c>
      <c r="D14" s="11" t="s">
        <v>56</v>
      </c>
      <c r="E14" s="11" t="s">
        <v>65</v>
      </c>
      <c r="F14" s="11" t="s">
        <v>67</v>
      </c>
      <c r="G14" s="11" t="s">
        <v>62</v>
      </c>
      <c r="H14" s="11" t="s">
        <v>63</v>
      </c>
    </row>
    <row r="15" spans="1:8" x14ac:dyDescent="0.2">
      <c r="B15" s="7" t="s">
        <v>42</v>
      </c>
      <c r="C15" s="7" t="s">
        <v>43</v>
      </c>
      <c r="D15" s="7">
        <v>300</v>
      </c>
      <c r="E15" s="7">
        <v>1.7499999999999998E-3</v>
      </c>
      <c r="F15" s="7">
        <v>300</v>
      </c>
      <c r="G15" s="7">
        <v>240</v>
      </c>
      <c r="H15" s="7">
        <v>48</v>
      </c>
    </row>
    <row r="16" spans="1:8" x14ac:dyDescent="0.2">
      <c r="B16" s="7" t="s">
        <v>46</v>
      </c>
      <c r="C16" s="7" t="s">
        <v>47</v>
      </c>
      <c r="D16" s="7">
        <v>48</v>
      </c>
      <c r="E16" s="7">
        <v>0</v>
      </c>
      <c r="F16" s="7">
        <v>36</v>
      </c>
      <c r="G16" s="7">
        <v>12</v>
      </c>
      <c r="H16" s="7">
        <v>1E+30</v>
      </c>
    </row>
    <row r="17" spans="2:8" ht="17" thickBot="1" x14ac:dyDescent="0.25">
      <c r="B17" s="5" t="s">
        <v>50</v>
      </c>
      <c r="C17" s="5" t="s">
        <v>51</v>
      </c>
      <c r="D17" s="5">
        <v>90</v>
      </c>
      <c r="E17" s="5">
        <v>1.5000000000000013E-3</v>
      </c>
      <c r="F17" s="5">
        <v>90</v>
      </c>
      <c r="G17" s="5">
        <v>40.000000000000007</v>
      </c>
      <c r="H17" s="5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5D2C-5D22-7540-8892-9B0E797CA9C7}">
  <dimension ref="A1:J14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1640625" bestFit="1" customWidth="1"/>
    <col min="3" max="3" width="11.5" bestFit="1" customWidth="1"/>
    <col min="4" max="4" width="5.832031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4" t="s">
        <v>68</v>
      </c>
    </row>
    <row r="2" spans="1:10" x14ac:dyDescent="0.2">
      <c r="A2" s="4" t="s">
        <v>14</v>
      </c>
    </row>
    <row r="3" spans="1:10" x14ac:dyDescent="0.2">
      <c r="A3" s="4" t="s">
        <v>15</v>
      </c>
    </row>
    <row r="5" spans="1:10" ht="17" thickBot="1" x14ac:dyDescent="0.25"/>
    <row r="6" spans="1:10" x14ac:dyDescent="0.2">
      <c r="B6" s="10"/>
      <c r="C6" s="10" t="s">
        <v>59</v>
      </c>
      <c r="D6" s="10"/>
    </row>
    <row r="7" spans="1:10" ht="17" thickBot="1" x14ac:dyDescent="0.25">
      <c r="B7" s="11" t="s">
        <v>25</v>
      </c>
      <c r="C7" s="11" t="s">
        <v>26</v>
      </c>
      <c r="D7" s="11" t="s">
        <v>56</v>
      </c>
    </row>
    <row r="8" spans="1:10" ht="17" thickBot="1" x14ac:dyDescent="0.25">
      <c r="B8" s="5" t="s">
        <v>35</v>
      </c>
      <c r="C8" s="5" t="s">
        <v>36</v>
      </c>
      <c r="D8" s="8">
        <v>0.65999999999999992</v>
      </c>
    </row>
    <row r="10" spans="1:10" ht="17" thickBot="1" x14ac:dyDescent="0.25"/>
    <row r="11" spans="1:10" x14ac:dyDescent="0.2">
      <c r="B11" s="10"/>
      <c r="C11" s="10" t="s">
        <v>69</v>
      </c>
      <c r="D11" s="10"/>
      <c r="F11" s="10" t="s">
        <v>70</v>
      </c>
      <c r="G11" s="10" t="s">
        <v>59</v>
      </c>
      <c r="I11" s="10" t="s">
        <v>73</v>
      </c>
      <c r="J11" s="10" t="s">
        <v>59</v>
      </c>
    </row>
    <row r="12" spans="1:10" ht="17" thickBot="1" x14ac:dyDescent="0.25">
      <c r="B12" s="11" t="s">
        <v>25</v>
      </c>
      <c r="C12" s="11" t="s">
        <v>26</v>
      </c>
      <c r="D12" s="11" t="s">
        <v>56</v>
      </c>
      <c r="F12" s="11" t="s">
        <v>71</v>
      </c>
      <c r="G12" s="11" t="s">
        <v>72</v>
      </c>
      <c r="I12" s="11" t="s">
        <v>71</v>
      </c>
      <c r="J12" s="11" t="s">
        <v>72</v>
      </c>
    </row>
    <row r="13" spans="1:10" x14ac:dyDescent="0.2">
      <c r="B13" s="7" t="s">
        <v>37</v>
      </c>
      <c r="C13" s="7" t="s">
        <v>38</v>
      </c>
      <c r="D13" s="9">
        <v>3</v>
      </c>
      <c r="F13" s="9">
        <v>0</v>
      </c>
      <c r="G13" s="9">
        <v>85</v>
      </c>
      <c r="I13" s="9">
        <v>250</v>
      </c>
      <c r="J13" s="9">
        <v>18835</v>
      </c>
    </row>
    <row r="14" spans="1:10" ht="17" thickBot="1" x14ac:dyDescent="0.25">
      <c r="B14" s="5" t="s">
        <v>40</v>
      </c>
      <c r="C14" s="5" t="s">
        <v>41</v>
      </c>
      <c r="D14" s="8">
        <v>2</v>
      </c>
      <c r="F14" s="8">
        <v>0</v>
      </c>
      <c r="G14" s="8">
        <v>110</v>
      </c>
      <c r="I14" s="8">
        <v>398.5</v>
      </c>
      <c r="J14" s="8">
        <v>20035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62B5-B6A6-3440-9B88-79FDEB8108D0}">
  <dimension ref="C5:J14"/>
  <sheetViews>
    <sheetView workbookViewId="0">
      <selection activeCell="K15" sqref="C5:K15"/>
    </sheetView>
  </sheetViews>
  <sheetFormatPr baseColWidth="10" defaultRowHeight="16" x14ac:dyDescent="0.2"/>
  <sheetData>
    <row r="5" spans="3:10" x14ac:dyDescent="0.2">
      <c r="C5" t="s">
        <v>0</v>
      </c>
      <c r="E5" t="s">
        <v>1</v>
      </c>
      <c r="F5" t="s">
        <v>2</v>
      </c>
      <c r="I5" t="s">
        <v>3</v>
      </c>
    </row>
    <row r="6" spans="3:10" x14ac:dyDescent="0.2">
      <c r="C6" t="s">
        <v>4</v>
      </c>
      <c r="E6" s="1">
        <v>3</v>
      </c>
      <c r="F6" s="1">
        <v>2</v>
      </c>
      <c r="I6" s="2">
        <f>SUMPRODUCT(E6:F6,E9:F9)</f>
        <v>0.65999999999999992</v>
      </c>
    </row>
    <row r="9" spans="3:10" x14ac:dyDescent="0.2">
      <c r="C9" t="s">
        <v>5</v>
      </c>
      <c r="E9">
        <v>0.12</v>
      </c>
      <c r="F9">
        <v>0.15</v>
      </c>
    </row>
    <row r="11" spans="3:10" x14ac:dyDescent="0.2">
      <c r="C11" t="s">
        <v>6</v>
      </c>
      <c r="H11" t="s">
        <v>7</v>
      </c>
      <c r="J11" t="s">
        <v>8</v>
      </c>
    </row>
    <row r="12" spans="3:10" x14ac:dyDescent="0.2">
      <c r="C12" t="s">
        <v>9</v>
      </c>
      <c r="E12">
        <v>60</v>
      </c>
      <c r="F12">
        <v>60</v>
      </c>
      <c r="H12" s="3">
        <f>SUMPRODUCT(E6:F6,E12:F12)</f>
        <v>300</v>
      </c>
      <c r="I12" t="s">
        <v>10</v>
      </c>
      <c r="J12">
        <v>300</v>
      </c>
    </row>
    <row r="13" spans="3:10" x14ac:dyDescent="0.2">
      <c r="C13" t="s">
        <v>11</v>
      </c>
      <c r="E13">
        <v>12</v>
      </c>
      <c r="F13">
        <v>6</v>
      </c>
      <c r="H13" s="3">
        <f>SUMPRODUCT(E6:F6,E13:F13)</f>
        <v>48</v>
      </c>
      <c r="I13" t="s">
        <v>10</v>
      </c>
      <c r="J13">
        <v>36</v>
      </c>
    </row>
    <row r="14" spans="3:10" x14ac:dyDescent="0.2">
      <c r="C14" t="s">
        <v>12</v>
      </c>
      <c r="E14">
        <v>10</v>
      </c>
      <c r="F14">
        <v>30</v>
      </c>
      <c r="H14" s="3">
        <f>SUMPRODUCT(E6:F6,E14:F14)</f>
        <v>90</v>
      </c>
      <c r="I14" t="s">
        <v>10</v>
      </c>
      <c r="J14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EDEC-3FD0-9A40-A5CF-5167914D1D8B}">
  <dimension ref="A1:G28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11.5" bestFit="1" customWidth="1"/>
    <col min="4" max="4" width="12.83203125" bestFit="1" customWidth="1"/>
    <col min="5" max="5" width="13" bestFit="1" customWidth="1"/>
    <col min="6" max="6" width="7.33203125" bestFit="1" customWidth="1"/>
    <col min="7" max="7" width="5.5" bestFit="1" customWidth="1"/>
  </cols>
  <sheetData>
    <row r="1" spans="1:5" x14ac:dyDescent="0.2">
      <c r="A1" s="4" t="s">
        <v>13</v>
      </c>
    </row>
    <row r="2" spans="1:5" x14ac:dyDescent="0.2">
      <c r="A2" s="4" t="s">
        <v>74</v>
      </c>
    </row>
    <row r="3" spans="1:5" x14ac:dyDescent="0.2">
      <c r="A3" s="4" t="s">
        <v>75</v>
      </c>
    </row>
    <row r="4" spans="1:5" x14ac:dyDescent="0.2">
      <c r="A4" s="4" t="s">
        <v>16</v>
      </c>
    </row>
    <row r="5" spans="1:5" x14ac:dyDescent="0.2">
      <c r="A5" s="4" t="s">
        <v>17</v>
      </c>
    </row>
    <row r="6" spans="1:5" x14ac:dyDescent="0.2">
      <c r="A6" s="4"/>
      <c r="B6" t="s">
        <v>18</v>
      </c>
    </row>
    <row r="7" spans="1:5" x14ac:dyDescent="0.2">
      <c r="A7" s="4"/>
      <c r="B7" t="s">
        <v>76</v>
      </c>
    </row>
    <row r="8" spans="1:5" x14ac:dyDescent="0.2">
      <c r="A8" s="4"/>
      <c r="B8" t="s">
        <v>20</v>
      </c>
    </row>
    <row r="9" spans="1:5" x14ac:dyDescent="0.2">
      <c r="A9" s="4" t="s">
        <v>21</v>
      </c>
    </row>
    <row r="10" spans="1:5" x14ac:dyDescent="0.2">
      <c r="B10" t="s">
        <v>77</v>
      </c>
    </row>
    <row r="11" spans="1:5" x14ac:dyDescent="0.2">
      <c r="B11" t="s">
        <v>78</v>
      </c>
    </row>
    <row r="14" spans="1:5" ht="17" thickBot="1" x14ac:dyDescent="0.25">
      <c r="A14" t="s">
        <v>24</v>
      </c>
    </row>
    <row r="15" spans="1:5" ht="17" thickBot="1" x14ac:dyDescent="0.25">
      <c r="B15" s="6" t="s">
        <v>25</v>
      </c>
      <c r="C15" s="6" t="s">
        <v>26</v>
      </c>
      <c r="D15" s="6" t="s">
        <v>27</v>
      </c>
      <c r="E15" s="6" t="s">
        <v>28</v>
      </c>
    </row>
    <row r="16" spans="1:5" ht="17" thickBot="1" x14ac:dyDescent="0.25">
      <c r="B16" s="5" t="s">
        <v>79</v>
      </c>
      <c r="C16" s="5" t="s">
        <v>36</v>
      </c>
      <c r="D16" s="8">
        <v>0</v>
      </c>
      <c r="E16" s="8">
        <v>400</v>
      </c>
    </row>
    <row r="19" spans="1:7" ht="17" thickBot="1" x14ac:dyDescent="0.25">
      <c r="A19" t="s">
        <v>29</v>
      </c>
    </row>
    <row r="20" spans="1:7" ht="17" thickBot="1" x14ac:dyDescent="0.25">
      <c r="B20" s="6" t="s">
        <v>25</v>
      </c>
      <c r="C20" s="6" t="s">
        <v>26</v>
      </c>
      <c r="D20" s="6" t="s">
        <v>27</v>
      </c>
      <c r="E20" s="6" t="s">
        <v>28</v>
      </c>
      <c r="F20" s="6" t="s">
        <v>30</v>
      </c>
    </row>
    <row r="21" spans="1:7" x14ac:dyDescent="0.2">
      <c r="B21" s="7" t="s">
        <v>80</v>
      </c>
      <c r="C21" s="7" t="s">
        <v>38</v>
      </c>
      <c r="D21" s="9">
        <v>0</v>
      </c>
      <c r="E21" s="9">
        <v>20</v>
      </c>
      <c r="F21" s="7" t="s">
        <v>39</v>
      </c>
    </row>
    <row r="22" spans="1:7" ht="17" thickBot="1" x14ac:dyDescent="0.25">
      <c r="B22" s="5" t="s">
        <v>81</v>
      </c>
      <c r="C22" s="5" t="s">
        <v>41</v>
      </c>
      <c r="D22" s="8">
        <v>0</v>
      </c>
      <c r="E22" s="8">
        <v>10</v>
      </c>
      <c r="F22" s="5" t="s">
        <v>39</v>
      </c>
    </row>
    <row r="25" spans="1:7" ht="17" thickBot="1" x14ac:dyDescent="0.25">
      <c r="A25" t="s">
        <v>6</v>
      </c>
    </row>
    <row r="26" spans="1:7" ht="17" thickBot="1" x14ac:dyDescent="0.25">
      <c r="B26" s="6" t="s">
        <v>25</v>
      </c>
      <c r="C26" s="6" t="s">
        <v>26</v>
      </c>
      <c r="D26" s="6" t="s">
        <v>31</v>
      </c>
      <c r="E26" s="6" t="s">
        <v>32</v>
      </c>
      <c r="F26" s="6" t="s">
        <v>33</v>
      </c>
      <c r="G26" s="6" t="s">
        <v>34</v>
      </c>
    </row>
    <row r="27" spans="1:7" x14ac:dyDescent="0.2">
      <c r="B27" s="7" t="s">
        <v>46</v>
      </c>
      <c r="C27" s="7" t="s">
        <v>43</v>
      </c>
      <c r="D27" s="9">
        <v>40</v>
      </c>
      <c r="E27" s="7" t="s">
        <v>48</v>
      </c>
      <c r="F27" s="7" t="s">
        <v>45</v>
      </c>
      <c r="G27" s="9">
        <v>0</v>
      </c>
    </row>
    <row r="28" spans="1:7" ht="17" thickBot="1" x14ac:dyDescent="0.25">
      <c r="B28" s="5" t="s">
        <v>50</v>
      </c>
      <c r="C28" s="5" t="s">
        <v>47</v>
      </c>
      <c r="D28" s="8">
        <v>30</v>
      </c>
      <c r="E28" s="5" t="s">
        <v>52</v>
      </c>
      <c r="F28" s="5" t="s">
        <v>45</v>
      </c>
      <c r="G28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4A41-C44B-3C48-BD67-985B444588C3}">
  <dimension ref="A1:H16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0.1640625" bestFit="1" customWidth="1"/>
    <col min="4" max="4" width="5.83203125" bestFit="1" customWidth="1"/>
    <col min="5" max="5" width="8.1640625" bestFit="1" customWidth="1"/>
    <col min="6" max="6" width="10" bestFit="1" customWidth="1"/>
    <col min="7" max="8" width="9.33203125" bestFit="1" customWidth="1"/>
  </cols>
  <sheetData>
    <row r="1" spans="1:8" x14ac:dyDescent="0.2">
      <c r="A1" s="4" t="s">
        <v>54</v>
      </c>
    </row>
    <row r="2" spans="1:8" x14ac:dyDescent="0.2">
      <c r="A2" s="4" t="s">
        <v>74</v>
      </c>
    </row>
    <row r="3" spans="1:8" x14ac:dyDescent="0.2">
      <c r="A3" s="4" t="s">
        <v>82</v>
      </c>
    </row>
    <row r="6" spans="1:8" ht="17" thickBot="1" x14ac:dyDescent="0.25">
      <c r="A6" t="s">
        <v>29</v>
      </c>
    </row>
    <row r="7" spans="1:8" x14ac:dyDescent="0.2">
      <c r="B7" s="10"/>
      <c r="C7" s="10"/>
      <c r="D7" s="10" t="s">
        <v>55</v>
      </c>
      <c r="E7" s="10" t="s">
        <v>57</v>
      </c>
      <c r="F7" s="10" t="s">
        <v>59</v>
      </c>
      <c r="G7" s="10" t="s">
        <v>61</v>
      </c>
      <c r="H7" s="10" t="s">
        <v>61</v>
      </c>
    </row>
    <row r="8" spans="1:8" ht="17" thickBot="1" x14ac:dyDescent="0.25">
      <c r="B8" s="11" t="s">
        <v>25</v>
      </c>
      <c r="C8" s="11" t="s">
        <v>26</v>
      </c>
      <c r="D8" s="11" t="s">
        <v>56</v>
      </c>
      <c r="E8" s="11" t="s">
        <v>58</v>
      </c>
      <c r="F8" s="11" t="s">
        <v>60</v>
      </c>
      <c r="G8" s="11" t="s">
        <v>62</v>
      </c>
      <c r="H8" s="11" t="s">
        <v>63</v>
      </c>
    </row>
    <row r="9" spans="1:8" x14ac:dyDescent="0.2">
      <c r="B9" s="7" t="s">
        <v>80</v>
      </c>
      <c r="C9" s="7" t="s">
        <v>38</v>
      </c>
      <c r="D9" s="7">
        <v>20</v>
      </c>
      <c r="E9" s="7">
        <v>0</v>
      </c>
      <c r="F9" s="7">
        <v>12</v>
      </c>
      <c r="G9" s="7">
        <v>4</v>
      </c>
      <c r="H9" s="7">
        <v>4</v>
      </c>
    </row>
    <row r="10" spans="1:8" ht="17" thickBot="1" x14ac:dyDescent="0.25">
      <c r="B10" s="5" t="s">
        <v>81</v>
      </c>
      <c r="C10" s="5" t="s">
        <v>41</v>
      </c>
      <c r="D10" s="5">
        <v>10</v>
      </c>
      <c r="E10" s="5">
        <v>0</v>
      </c>
      <c r="F10" s="5">
        <v>16</v>
      </c>
      <c r="G10" s="5">
        <v>8</v>
      </c>
      <c r="H10" s="5">
        <v>4</v>
      </c>
    </row>
    <row r="12" spans="1:8" ht="17" thickBot="1" x14ac:dyDescent="0.25">
      <c r="A12" t="s">
        <v>6</v>
      </c>
    </row>
    <row r="13" spans="1:8" x14ac:dyDescent="0.2">
      <c r="B13" s="10"/>
      <c r="C13" s="10"/>
      <c r="D13" s="10" t="s">
        <v>55</v>
      </c>
      <c r="E13" s="10" t="s">
        <v>64</v>
      </c>
      <c r="F13" s="10" t="s">
        <v>66</v>
      </c>
      <c r="G13" s="10" t="s">
        <v>61</v>
      </c>
      <c r="H13" s="10" t="s">
        <v>61</v>
      </c>
    </row>
    <row r="14" spans="1:8" ht="17" thickBot="1" x14ac:dyDescent="0.25">
      <c r="B14" s="11" t="s">
        <v>25</v>
      </c>
      <c r="C14" s="11" t="s">
        <v>26</v>
      </c>
      <c r="D14" s="11" t="s">
        <v>56</v>
      </c>
      <c r="E14" s="11" t="s">
        <v>65</v>
      </c>
      <c r="F14" s="11" t="s">
        <v>67</v>
      </c>
      <c r="G14" s="11" t="s">
        <v>62</v>
      </c>
      <c r="H14" s="11" t="s">
        <v>63</v>
      </c>
    </row>
    <row r="15" spans="1:8" x14ac:dyDescent="0.2">
      <c r="B15" s="7" t="s">
        <v>46</v>
      </c>
      <c r="C15" s="7" t="s">
        <v>43</v>
      </c>
      <c r="D15" s="7">
        <v>40</v>
      </c>
      <c r="E15" s="7">
        <v>4</v>
      </c>
      <c r="F15" s="7">
        <v>40</v>
      </c>
      <c r="G15" s="7">
        <v>20</v>
      </c>
      <c r="H15" s="7">
        <v>10</v>
      </c>
    </row>
    <row r="16" spans="1:8" ht="17" thickBot="1" x14ac:dyDescent="0.25">
      <c r="B16" s="5" t="s">
        <v>50</v>
      </c>
      <c r="C16" s="5" t="s">
        <v>47</v>
      </c>
      <c r="D16" s="5">
        <v>30</v>
      </c>
      <c r="E16" s="5">
        <v>8</v>
      </c>
      <c r="F16" s="5">
        <v>30</v>
      </c>
      <c r="G16" s="5">
        <v>10</v>
      </c>
      <c r="H16" s="5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1EEC-69C1-F24C-B09D-F7911C229B2E}">
  <dimension ref="A1:J14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1640625" bestFit="1" customWidth="1"/>
    <col min="3" max="3" width="11.5" bestFit="1" customWidth="1"/>
    <col min="4" max="4" width="5.832031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4" t="s">
        <v>68</v>
      </c>
    </row>
    <row r="2" spans="1:10" x14ac:dyDescent="0.2">
      <c r="A2" s="4" t="s">
        <v>74</v>
      </c>
    </row>
    <row r="3" spans="1:10" x14ac:dyDescent="0.2">
      <c r="A3" s="4" t="s">
        <v>82</v>
      </c>
    </row>
    <row r="5" spans="1:10" ht="17" thickBot="1" x14ac:dyDescent="0.25"/>
    <row r="6" spans="1:10" x14ac:dyDescent="0.2">
      <c r="B6" s="10"/>
      <c r="C6" s="10" t="s">
        <v>59</v>
      </c>
      <c r="D6" s="10"/>
    </row>
    <row r="7" spans="1:10" ht="17" thickBot="1" x14ac:dyDescent="0.25">
      <c r="B7" s="11" t="s">
        <v>25</v>
      </c>
      <c r="C7" s="11" t="s">
        <v>26</v>
      </c>
      <c r="D7" s="11" t="s">
        <v>56</v>
      </c>
    </row>
    <row r="8" spans="1:10" ht="17" thickBot="1" x14ac:dyDescent="0.25">
      <c r="B8" s="5" t="s">
        <v>79</v>
      </c>
      <c r="C8" s="5" t="s">
        <v>36</v>
      </c>
      <c r="D8" s="8">
        <v>400</v>
      </c>
    </row>
    <row r="10" spans="1:10" ht="17" thickBot="1" x14ac:dyDescent="0.25"/>
    <row r="11" spans="1:10" x14ac:dyDescent="0.2">
      <c r="B11" s="10"/>
      <c r="C11" s="10" t="s">
        <v>69</v>
      </c>
      <c r="D11" s="10"/>
      <c r="F11" s="10" t="s">
        <v>70</v>
      </c>
      <c r="G11" s="10" t="s">
        <v>59</v>
      </c>
      <c r="I11" s="10" t="s">
        <v>73</v>
      </c>
      <c r="J11" s="10" t="s">
        <v>59</v>
      </c>
    </row>
    <row r="12" spans="1:10" ht="17" thickBot="1" x14ac:dyDescent="0.25">
      <c r="B12" s="11" t="s">
        <v>25</v>
      </c>
      <c r="C12" s="11" t="s">
        <v>26</v>
      </c>
      <c r="D12" s="11" t="s">
        <v>56</v>
      </c>
      <c r="F12" s="11" t="s">
        <v>71</v>
      </c>
      <c r="G12" s="11" t="s">
        <v>72</v>
      </c>
      <c r="I12" s="11" t="s">
        <v>71</v>
      </c>
      <c r="J12" s="11" t="s">
        <v>72</v>
      </c>
    </row>
    <row r="13" spans="1:10" x14ac:dyDescent="0.2">
      <c r="B13" s="7" t="s">
        <v>80</v>
      </c>
      <c r="C13" s="7" t="s">
        <v>38</v>
      </c>
      <c r="D13" s="9">
        <v>20</v>
      </c>
      <c r="F13" s="9">
        <v>0</v>
      </c>
      <c r="G13" s="9">
        <v>85</v>
      </c>
      <c r="I13" s="9">
        <v>250</v>
      </c>
      <c r="J13" s="9">
        <v>18835</v>
      </c>
    </row>
    <row r="14" spans="1:10" ht="17" thickBot="1" x14ac:dyDescent="0.25">
      <c r="B14" s="5" t="s">
        <v>81</v>
      </c>
      <c r="C14" s="5" t="s">
        <v>41</v>
      </c>
      <c r="D14" s="8">
        <v>10</v>
      </c>
      <c r="F14" s="8">
        <v>0</v>
      </c>
      <c r="G14" s="8">
        <v>110</v>
      </c>
      <c r="I14" s="8">
        <v>398.5</v>
      </c>
      <c r="J14" s="8">
        <v>20035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2281-457A-9348-8033-39903FF23091}">
  <dimension ref="C6:J15"/>
  <sheetViews>
    <sheetView tabSelected="1" topLeftCell="A4" workbookViewId="0">
      <selection activeCell="I13" sqref="I13"/>
    </sheetView>
  </sheetViews>
  <sheetFormatPr baseColWidth="10" defaultRowHeight="16" x14ac:dyDescent="0.2"/>
  <sheetData>
    <row r="6" spans="3:10" x14ac:dyDescent="0.2">
      <c r="C6" t="s">
        <v>0</v>
      </c>
      <c r="E6" t="s">
        <v>1</v>
      </c>
      <c r="F6" t="s">
        <v>2</v>
      </c>
      <c r="I6" t="s">
        <v>3</v>
      </c>
    </row>
    <row r="7" spans="3:10" x14ac:dyDescent="0.2">
      <c r="C7" t="s">
        <v>4</v>
      </c>
      <c r="E7" s="1">
        <v>20</v>
      </c>
      <c r="F7" s="1">
        <v>10</v>
      </c>
      <c r="I7" s="2">
        <f>SUMPRODUCT(E7:F7,E10:F10)</f>
        <v>400</v>
      </c>
    </row>
    <row r="10" spans="3:10" x14ac:dyDescent="0.2">
      <c r="C10" t="s">
        <v>5</v>
      </c>
      <c r="E10">
        <v>12</v>
      </c>
      <c r="F10">
        <v>16</v>
      </c>
    </row>
    <row r="12" spans="3:10" x14ac:dyDescent="0.2">
      <c r="C12" t="s">
        <v>6</v>
      </c>
      <c r="H12" t="s">
        <v>7</v>
      </c>
      <c r="J12" t="s">
        <v>8</v>
      </c>
    </row>
    <row r="13" spans="3:10" x14ac:dyDescent="0.2">
      <c r="C13" t="s">
        <v>9</v>
      </c>
      <c r="E13">
        <v>1</v>
      </c>
      <c r="F13">
        <v>2</v>
      </c>
      <c r="H13" s="3">
        <f>SUMPRODUCT(E7:F7,E13:F13)</f>
        <v>40</v>
      </c>
      <c r="I13" t="s">
        <v>10</v>
      </c>
      <c r="J13">
        <v>40</v>
      </c>
    </row>
    <row r="14" spans="3:10" x14ac:dyDescent="0.2">
      <c r="C14" t="s">
        <v>11</v>
      </c>
      <c r="E14">
        <v>1</v>
      </c>
      <c r="F14">
        <v>1</v>
      </c>
      <c r="H14" s="3">
        <f>SUMPRODUCT(E7:F7,E14:F14)</f>
        <v>30</v>
      </c>
      <c r="I14" t="s">
        <v>10</v>
      </c>
      <c r="J14">
        <v>30</v>
      </c>
    </row>
    <row r="15" spans="3:10" x14ac:dyDescent="0.2">
      <c r="H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Report 1</vt:lpstr>
      <vt:lpstr>Sensitivity Report 1</vt:lpstr>
      <vt:lpstr>Limits Report 1</vt:lpstr>
      <vt:lpstr>Sheet1</vt:lpstr>
      <vt:lpstr>Answer Report 2</vt:lpstr>
      <vt:lpstr>Sensitivity Report 2</vt:lpstr>
      <vt:lpstr>Limits Report 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2026-04-30T13:58:36Z</dcterms:created>
  <dcterms:modified xsi:type="dcterms:W3CDTF">2026-04-30T14:10:48Z</dcterms:modified>
</cp:coreProperties>
</file>