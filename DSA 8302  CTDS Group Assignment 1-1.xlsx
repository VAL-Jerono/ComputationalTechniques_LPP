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s\Downloads\"/>
    </mc:Choice>
  </mc:AlternateContent>
  <xr:revisionPtr revIDLastSave="0" documentId="13_ncr:1_{41AF2793-8B70-4805-AC84-CF6B606C5AA6}" xr6:coauthVersionLast="47" xr6:coauthVersionMax="47" xr10:uidLastSave="{00000000-0000-0000-0000-000000000000}"/>
  <bookViews>
    <workbookView xWindow="-120" yWindow="-120" windowWidth="29040" windowHeight="14085" xr2:uid="{4CF85542-266F-453B-BB0E-F38E73899F4E}"/>
  </bookViews>
  <sheets>
    <sheet name="GROUP MEMBERS" sheetId="8" r:id="rId1"/>
    <sheet name="QN1" sheetId="1" r:id="rId2"/>
    <sheet name="QN3" sheetId="6" r:id="rId3"/>
    <sheet name="Answer Report 1" sheetId="4" r:id="rId4"/>
    <sheet name="Answer Report 3" sheetId="7" r:id="rId5"/>
  </sheets>
  <definedNames>
    <definedName name="solver_adj" localSheetId="1" hidden="1">'QN1'!$B$4:$F$4</definedName>
    <definedName name="solver_adj" localSheetId="2" hidden="1">'QN3'!$B$4:$M$4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'QN1'!$H$9:$H$13</definedName>
    <definedName name="solver_lhs1" localSheetId="2" hidden="1">'QN3'!$B$4:$M$4</definedName>
    <definedName name="solver_lhs2" localSheetId="2" hidden="1">'QN3'!$O$10:$O$20</definedName>
    <definedName name="solver_lhs3" localSheetId="2" hidden="1">'QN3'!$O$9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3</definedName>
    <definedName name="solver_nwt" localSheetId="1" hidden="1">1</definedName>
    <definedName name="solver_nwt" localSheetId="2" hidden="1">1</definedName>
    <definedName name="solver_opt" localSheetId="1" hidden="1">'QN1'!$I$4</definedName>
    <definedName name="solver_opt" localSheetId="2" hidden="1">'QN3'!$P$4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5</definedName>
    <definedName name="solver_rel2" localSheetId="2" hidden="1">3</definedName>
    <definedName name="solver_rel3" localSheetId="2" hidden="1">2</definedName>
    <definedName name="solver_rhs1" localSheetId="1" hidden="1">'QN1'!$J$9:$J$13</definedName>
    <definedName name="solver_rhs1" localSheetId="2" hidden="1">"binary"</definedName>
    <definedName name="solver_rhs2" localSheetId="2" hidden="1">'QN3'!$Q$10:$Q$20</definedName>
    <definedName name="solver_rhs3" localSheetId="2" hidden="1">'QN3'!$Q$9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6" l="1"/>
  <c r="O11" i="6"/>
  <c r="O12" i="6"/>
  <c r="O13" i="6"/>
  <c r="O14" i="6"/>
  <c r="O15" i="6"/>
  <c r="O16" i="6"/>
  <c r="O17" i="6"/>
  <c r="O18" i="6"/>
  <c r="O19" i="6"/>
  <c r="O20" i="6"/>
  <c r="O9" i="6"/>
  <c r="P4" i="6"/>
  <c r="I4" i="1"/>
  <c r="H10" i="1"/>
  <c r="H11" i="1"/>
  <c r="H12" i="1"/>
  <c r="H13" i="1"/>
  <c r="H9" i="1"/>
</calcChain>
</file>

<file path=xl/sharedStrings.xml><?xml version="1.0" encoding="utf-8"?>
<sst xmlns="http://schemas.openxmlformats.org/spreadsheetml/2006/main" count="258" uniqueCount="162">
  <si>
    <t>Variables</t>
  </si>
  <si>
    <t>x_1</t>
  </si>
  <si>
    <t>x_2</t>
  </si>
  <si>
    <t>x_3</t>
  </si>
  <si>
    <t>x_4</t>
  </si>
  <si>
    <t>x_5</t>
  </si>
  <si>
    <t>Solution</t>
  </si>
  <si>
    <t>Obj.fun.coeff</t>
  </si>
  <si>
    <t>Returns</t>
  </si>
  <si>
    <t>Constraint_1</t>
  </si>
  <si>
    <t>Constraint_2</t>
  </si>
  <si>
    <t>Constraint_3</t>
  </si>
  <si>
    <t>Constraint_4</t>
  </si>
  <si>
    <t>Constraint_5</t>
  </si>
  <si>
    <t>LHS</t>
  </si>
  <si>
    <t>RHS</t>
  </si>
  <si>
    <t>&lt;=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</si>
  <si>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</si>
  <si>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</si>
  <si>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</si>
  <si>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</si>
  <si>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Iterations: 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</si>
  <si>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</si>
  <si>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</si>
  <si>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</si>
  <si>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</si>
  <si>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</si>
  <si>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</si>
  <si>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</si>
  <si>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</si>
  <si>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</si>
  <si>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</si>
  <si>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</si>
  <si>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</si>
  <si>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</si>
  <si>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</si>
  <si>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</si>
  <si>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$I$4</t>
  </si>
  <si>
    <t>Solution Returns</t>
  </si>
  <si>
    <t>$B$4</t>
  </si>
  <si>
    <t>Solution x_1</t>
  </si>
  <si>
    <t>Contin</t>
  </si>
  <si>
    <t>$C$4</t>
  </si>
  <si>
    <t>Solution x_2</t>
  </si>
  <si>
    <t>$D$4</t>
  </si>
  <si>
    <t>Solution x_3</t>
  </si>
  <si>
    <t>$E$4</t>
  </si>
  <si>
    <t>Solution x_4</t>
  </si>
  <si>
    <t>$F$4</t>
  </si>
  <si>
    <t>Solution x_5</t>
  </si>
  <si>
    <t>$H$9</t>
  </si>
  <si>
    <t>Constraint_1 LHS</t>
  </si>
  <si>
    <t>$H$9&lt;=$J$9</t>
  </si>
  <si>
    <t>Binding</t>
  </si>
  <si>
    <t>$H$10</t>
  </si>
  <si>
    <t>Constraint_2 LHS</t>
  </si>
  <si>
    <t>$H$10&lt;=$J$10</t>
  </si>
  <si>
    <t>$H$11</t>
  </si>
  <si>
    <t>Constraint_3 LHS</t>
  </si>
  <si>
    <t>$H$11&lt;=$J$11</t>
  </si>
  <si>
    <t>Not Binding</t>
  </si>
  <si>
    <t>$H$12</t>
  </si>
  <si>
    <t>Constraint_4 LHS</t>
  </si>
  <si>
    <t>$H$12&lt;=$J$12</t>
  </si>
  <si>
    <t>$H$13</t>
  </si>
  <si>
    <t>Constraint_5 LHS</t>
  </si>
  <si>
    <t>$H$13&lt;=$J$13</t>
  </si>
  <si>
    <t>Cost</t>
  </si>
  <si>
    <t>Worksheet: [Book1]QN1</t>
  </si>
  <si>
    <t>Report Created: 4/23/2026 6:50:21 PM</t>
  </si>
  <si>
    <t>Solution Time: 0.032 Seconds.</t>
  </si>
  <si>
    <t>Assignment 1-QN1</t>
  </si>
  <si>
    <t>Assignment 1-QN3</t>
  </si>
  <si>
    <t>Con_1</t>
  </si>
  <si>
    <t>Con_2</t>
  </si>
  <si>
    <t>Con_3</t>
  </si>
  <si>
    <t>Con_4</t>
  </si>
  <si>
    <t>Con_5</t>
  </si>
  <si>
    <t>Con_6</t>
  </si>
  <si>
    <t>Con_7</t>
  </si>
  <si>
    <t>Con_8</t>
  </si>
  <si>
    <t>Con_9</t>
  </si>
  <si>
    <t>Con_10</t>
  </si>
  <si>
    <t>Con_11</t>
  </si>
  <si>
    <t>Con_12</t>
  </si>
  <si>
    <t>x_6</t>
  </si>
  <si>
    <t>x_7</t>
  </si>
  <si>
    <t>x_8</t>
  </si>
  <si>
    <t>x_9</t>
  </si>
  <si>
    <t>x_10</t>
  </si>
  <si>
    <t>x_11</t>
  </si>
  <si>
    <t>x_12</t>
  </si>
  <si>
    <t>=</t>
  </si>
  <si>
    <t>&gt;=</t>
  </si>
  <si>
    <t>Worksheet: [Assignment 1.xlsx]QN3</t>
  </si>
  <si>
    <t>Report Created: 4/24/2026 12:55:43 PM</t>
  </si>
  <si>
    <t>Solution Time: 0.031 Seconds.</t>
  </si>
  <si>
    <t>Iterations: 25 Subproblems: 0</t>
  </si>
  <si>
    <t>Objective Cell (Min)</t>
  </si>
  <si>
    <t>$P$4</t>
  </si>
  <si>
    <t>$G$4</t>
  </si>
  <si>
    <t>Solution x_6</t>
  </si>
  <si>
    <t>$H$4</t>
  </si>
  <si>
    <t>Solution x_7</t>
  </si>
  <si>
    <t>Solution x_8</t>
  </si>
  <si>
    <t>$J$4</t>
  </si>
  <si>
    <t>Solution x_9</t>
  </si>
  <si>
    <t>$K$4</t>
  </si>
  <si>
    <t>Solution x_10</t>
  </si>
  <si>
    <t>$L$4</t>
  </si>
  <si>
    <t>Solution x_11</t>
  </si>
  <si>
    <t>$M$4</t>
  </si>
  <si>
    <t>Solution x_12</t>
  </si>
  <si>
    <t>$O$10</t>
  </si>
  <si>
    <t>Con_2 LHS</t>
  </si>
  <si>
    <t>$O$10&gt;=$Q$10</t>
  </si>
  <si>
    <t>$O$11</t>
  </si>
  <si>
    <t>Con_3 LHS</t>
  </si>
  <si>
    <t>$O$11&gt;=$Q$11</t>
  </si>
  <si>
    <t>$O$12</t>
  </si>
  <si>
    <t>Con_4 LHS</t>
  </si>
  <si>
    <t>$O$12&gt;=$Q$12</t>
  </si>
  <si>
    <t>$O$13</t>
  </si>
  <si>
    <t>Con_5 LHS</t>
  </si>
  <si>
    <t>$O$13&gt;=$Q$13</t>
  </si>
  <si>
    <t>$O$14</t>
  </si>
  <si>
    <t>Con_6 LHS</t>
  </si>
  <si>
    <t>$O$14&gt;=$Q$14</t>
  </si>
  <si>
    <t>$O$15</t>
  </si>
  <si>
    <t>Con_7 LHS</t>
  </si>
  <si>
    <t>$O$15&gt;=$Q$15</t>
  </si>
  <si>
    <t>$O$16</t>
  </si>
  <si>
    <t>Con_8 LHS</t>
  </si>
  <si>
    <t>$O$16&gt;=$Q$16</t>
  </si>
  <si>
    <t>$O$17</t>
  </si>
  <si>
    <t>Con_9 LHS</t>
  </si>
  <si>
    <t>$O$17&gt;=$Q$17</t>
  </si>
  <si>
    <t>$O$18</t>
  </si>
  <si>
    <t>Con_10 LHS</t>
  </si>
  <si>
    <t>$O$18&gt;=$Q$18</t>
  </si>
  <si>
    <t>$O$19</t>
  </si>
  <si>
    <t>Con_11 LHS</t>
  </si>
  <si>
    <t>$O$19&gt;=$Q$19</t>
  </si>
  <si>
    <t>$O$20</t>
  </si>
  <si>
    <t>Con_12 LHS</t>
  </si>
  <si>
    <t>$O$20&gt;=$Q$20</t>
  </si>
  <si>
    <t>$O$9</t>
  </si>
  <si>
    <t>Con_1 LHS</t>
  </si>
  <si>
    <t>$O$9=$Q$9</t>
  </si>
  <si>
    <t>$B$4:$M$4=Binary</t>
  </si>
  <si>
    <t>Binary</t>
  </si>
  <si>
    <t>The linear programming solution indicates that Welte Mutual Funds should allocate the $100,000 across the five investment options as follows: $20,000 in Atlantic Oil, $30,000 in Pacific Oil, $0 in Midwest Steel, $40,000 in Huber Steel and $10,000 in government bonds, yielding a maximum annual return of $8,000. This allocation satisfies all the investment constraints: total funds are fully utilized, oil industry investment is capped at $50,000 (20,000 + 30,000), steel investment remains within the $50,000 limit (0 + 40,000), Pacific Oil does not exceed 60% of total oil investment and government bonds meet the requirement of being at least 25% of the steel investment. The model prioritizes higher-return assets such as Pacific Oil and Huber Steel while limiting exposure to lower-return options like government bonds and Midwest Steel, thereby achieving an optimal balance between return maximization and risk constraints.</t>
  </si>
  <si>
    <t>The integer linear programming solution selects flight sequences 1, 5, and 12 (x1=1, x5​=1, x12​=1, all others 0), meaning the three crews are assigned to these sequences at a minimum total cost of $18,000. This satisfies the requirement that exactly three sequences are chosen and ensures that every flight is covered at least once. The model effectively minimizes cost by choosing a combination of relatively low-cost sequences while still maintaining full flight coverage, even though some flights may be redundantly covered due to overlapping sequences.</t>
  </si>
  <si>
    <t>NAME</t>
  </si>
  <si>
    <t>ADM.NO</t>
  </si>
  <si>
    <t>S.NO</t>
  </si>
  <si>
    <t>Hilda Ndambuki</t>
  </si>
  <si>
    <t>Linet Wanjira</t>
  </si>
  <si>
    <t>Jakes Kariuki</t>
  </si>
  <si>
    <t>Valerie Cherono</t>
  </si>
  <si>
    <t>Isaac Baya</t>
  </si>
  <si>
    <t>Fridah Mutabari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</si>
</sst>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E5AC-2C58-4377-98F0-A5DD5A5906B7}">
  <dimension ref="A1:C7"/>
  <sheetViews>
    <sheetView tabSelected="1" workbookViewId="0">
      <selection activeCell="F6" sqref="F6"/>
    </sheetView>
  </sheetViews>
  <sheetFormatPr defaultRowHeight="15" x14ac:dyDescent="0.25"/>
  <cols>
    <col min="2" max="2" width="15.5703125" bestFit="1" customWidth="1"/>
  </cols>
  <sheetData>
    <row r="1" spans="1:3" x14ac:dyDescent="0.25">
      <c r="A1" s="1" t="s">
        <v>155</v>
      </c>
      <c r="B1" s="1" t="s">
        <v>153</v>
      </c>
      <c r="C1" s="1" t="s">
        <v>154</v>
      </c>
    </row>
    <row r="2" spans="1:3" x14ac:dyDescent="0.25">
      <c r="A2">
        <v>1</v>
      </c>
      <c r="B2" t="s">
        <v>156</v>
      </c>
      <c r="C2">
        <v>53837</v>
      </c>
    </row>
    <row r="3" spans="1:3" x14ac:dyDescent="0.25">
      <c r="A3">
        <v>2</v>
      </c>
      <c r="B3" t="s">
        <v>157</v>
      </c>
      <c r="C3" s="8">
        <v>193883</v>
      </c>
    </row>
    <row r="4" spans="1:3" x14ac:dyDescent="0.25">
      <c r="A4">
        <v>3</v>
      </c>
      <c r="B4" t="s">
        <v>158</v>
      </c>
      <c r="C4" s="8">
        <v>222082</v>
      </c>
    </row>
    <row r="5" spans="1:3" x14ac:dyDescent="0.25">
      <c r="A5">
        <v>4</v>
      </c>
      <c r="B5" t="s">
        <v>159</v>
      </c>
      <c r="C5">
        <v>222331</v>
      </c>
    </row>
    <row r="6" spans="1:3" x14ac:dyDescent="0.25">
      <c r="A6">
        <v>5</v>
      </c>
      <c r="B6" t="s">
        <v>160</v>
      </c>
      <c r="C6">
        <v>222327</v>
      </c>
    </row>
    <row r="7" spans="1:3" x14ac:dyDescent="0.25">
      <c r="A7">
        <v>6</v>
      </c>
      <c r="B7" t="s">
        <v>161</v>
      </c>
      <c r="C7">
        <v>111033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E964-ED80-4C7B-A14C-EC45C8F27E94}">
  <dimension ref="A1:M24"/>
  <sheetViews>
    <sheetView workbookViewId="0">
      <selection activeCell="O21" sqref="O21"/>
    </sheetView>
  </sheetViews>
  <sheetFormatPr defaultRowHeight="15" x14ac:dyDescent="0.25"/>
  <cols>
    <col min="1" max="1" width="12.28515625" bestFit="1" customWidth="1"/>
  </cols>
  <sheetData>
    <row r="1" spans="1:10" x14ac:dyDescent="0.25">
      <c r="A1" s="9" t="s">
        <v>71</v>
      </c>
      <c r="B1" s="9"/>
    </row>
    <row r="3" spans="1:10" x14ac:dyDescent="0.25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s="1" t="s">
        <v>8</v>
      </c>
    </row>
    <row r="4" spans="1:10" x14ac:dyDescent="0.25">
      <c r="A4" s="1" t="s">
        <v>6</v>
      </c>
      <c r="B4" s="2">
        <v>20000</v>
      </c>
      <c r="C4" s="2">
        <v>30000</v>
      </c>
      <c r="D4" s="2">
        <v>0</v>
      </c>
      <c r="E4" s="2">
        <v>40000</v>
      </c>
      <c r="F4" s="2">
        <v>10000</v>
      </c>
      <c r="I4" s="3">
        <f>SUMPRODUCT(B4:F4,B6:F6)</f>
        <v>8000</v>
      </c>
    </row>
    <row r="6" spans="1:10" x14ac:dyDescent="0.25">
      <c r="A6" s="1" t="s">
        <v>7</v>
      </c>
      <c r="B6">
        <v>7.2999999999999995E-2</v>
      </c>
      <c r="C6">
        <v>0.10299999999999999</v>
      </c>
      <c r="D6">
        <v>6.4000000000000001E-2</v>
      </c>
      <c r="E6">
        <v>7.4999999999999997E-2</v>
      </c>
      <c r="F6">
        <v>4.4999999999999998E-2</v>
      </c>
    </row>
    <row r="8" spans="1:10" x14ac:dyDescent="0.25">
      <c r="H8" s="1" t="s">
        <v>14</v>
      </c>
      <c r="J8" s="1" t="s">
        <v>15</v>
      </c>
    </row>
    <row r="9" spans="1:10" x14ac:dyDescent="0.25">
      <c r="A9" s="1" t="s">
        <v>9</v>
      </c>
      <c r="B9">
        <v>1</v>
      </c>
      <c r="C9">
        <v>1</v>
      </c>
      <c r="D9">
        <v>1</v>
      </c>
      <c r="E9">
        <v>1</v>
      </c>
      <c r="F9">
        <v>1</v>
      </c>
      <c r="H9">
        <f>SUMPRODUCT($B$4:$F$4,B9:F9)</f>
        <v>100000</v>
      </c>
      <c r="I9" t="s">
        <v>16</v>
      </c>
      <c r="J9">
        <v>100000</v>
      </c>
    </row>
    <row r="10" spans="1:10" x14ac:dyDescent="0.25">
      <c r="A10" s="1" t="s">
        <v>10</v>
      </c>
      <c r="B10">
        <v>1</v>
      </c>
      <c r="C10">
        <v>1</v>
      </c>
      <c r="H10">
        <f t="shared" ref="H10:H13" si="0">SUMPRODUCT($B$4:$F$4,B10:F10)</f>
        <v>50000</v>
      </c>
      <c r="I10" t="s">
        <v>16</v>
      </c>
      <c r="J10">
        <v>50000</v>
      </c>
    </row>
    <row r="11" spans="1:10" x14ac:dyDescent="0.25">
      <c r="A11" s="1" t="s">
        <v>11</v>
      </c>
      <c r="D11">
        <v>1</v>
      </c>
      <c r="E11">
        <v>1</v>
      </c>
      <c r="H11">
        <f t="shared" si="0"/>
        <v>40000</v>
      </c>
      <c r="I11" t="s">
        <v>16</v>
      </c>
      <c r="J11">
        <v>50000</v>
      </c>
    </row>
    <row r="12" spans="1:10" x14ac:dyDescent="0.25">
      <c r="A12" s="1" t="s">
        <v>12</v>
      </c>
      <c r="B12">
        <v>-0.6</v>
      </c>
      <c r="C12">
        <v>0.4</v>
      </c>
      <c r="H12">
        <f t="shared" si="0"/>
        <v>0</v>
      </c>
      <c r="I12" t="s">
        <v>16</v>
      </c>
      <c r="J12">
        <v>0</v>
      </c>
    </row>
    <row r="13" spans="1:10" x14ac:dyDescent="0.25">
      <c r="A13" s="1" t="s">
        <v>13</v>
      </c>
      <c r="D13">
        <v>0.25</v>
      </c>
      <c r="E13">
        <v>0.25</v>
      </c>
      <c r="F13">
        <v>-1</v>
      </c>
      <c r="H13">
        <f t="shared" si="0"/>
        <v>0</v>
      </c>
      <c r="I13" t="s">
        <v>16</v>
      </c>
      <c r="J13">
        <v>0</v>
      </c>
    </row>
    <row r="18" spans="1:13" x14ac:dyDescent="0.25">
      <c r="A18" s="10" t="s">
        <v>151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</sheetData>
  <mergeCells count="2">
    <mergeCell ref="A1:B1"/>
    <mergeCell ref="A18:M2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9740-2D71-4843-959B-EC699E67D676}">
  <dimension ref="A1:V26"/>
  <sheetViews>
    <sheetView workbookViewId="0">
      <selection activeCell="S9" sqref="S9"/>
    </sheetView>
  </sheetViews>
  <sheetFormatPr defaultRowHeight="15" x14ac:dyDescent="0.25"/>
  <cols>
    <col min="1" max="1" width="12.28515625" bestFit="1" customWidth="1"/>
  </cols>
  <sheetData>
    <row r="1" spans="1:17" x14ac:dyDescent="0.25">
      <c r="A1" s="9" t="s">
        <v>72</v>
      </c>
      <c r="B1" s="11"/>
    </row>
    <row r="3" spans="1:17" x14ac:dyDescent="0.25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P3" s="1" t="s">
        <v>67</v>
      </c>
    </row>
    <row r="4" spans="1:17" x14ac:dyDescent="0.25">
      <c r="A4" s="1" t="s">
        <v>6</v>
      </c>
      <c r="B4" s="2">
        <v>1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P4" s="3">
        <f>SUMPRODUCT(B4:M4,B6:M6)</f>
        <v>18</v>
      </c>
    </row>
    <row r="6" spans="1:17" x14ac:dyDescent="0.25">
      <c r="A6" s="1" t="s">
        <v>7</v>
      </c>
      <c r="B6">
        <v>2</v>
      </c>
      <c r="C6">
        <v>3</v>
      </c>
      <c r="D6">
        <v>4</v>
      </c>
      <c r="E6">
        <v>6</v>
      </c>
      <c r="F6">
        <v>7</v>
      </c>
      <c r="G6">
        <v>5</v>
      </c>
      <c r="H6">
        <v>7</v>
      </c>
      <c r="I6">
        <v>8</v>
      </c>
      <c r="J6">
        <v>9</v>
      </c>
      <c r="K6">
        <v>9</v>
      </c>
      <c r="L6">
        <v>8</v>
      </c>
      <c r="M6">
        <v>9</v>
      </c>
    </row>
    <row r="8" spans="1:17" x14ac:dyDescent="0.25">
      <c r="O8" s="1" t="s">
        <v>14</v>
      </c>
      <c r="Q8" s="1" t="s">
        <v>15</v>
      </c>
    </row>
    <row r="9" spans="1:17" x14ac:dyDescent="0.25">
      <c r="A9" s="1" t="s">
        <v>73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O9">
        <f>SUMPRODUCT($B$4:$M$4,B9:M9)</f>
        <v>3</v>
      </c>
      <c r="P9" t="s">
        <v>92</v>
      </c>
      <c r="Q9">
        <v>3</v>
      </c>
    </row>
    <row r="10" spans="1:17" x14ac:dyDescent="0.25">
      <c r="A10" s="1" t="s">
        <v>74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O10">
        <f t="shared" ref="O10:O20" si="0">SUMPRODUCT($B$4:$M$4,B10:M10)</f>
        <v>1</v>
      </c>
      <c r="P10" t="s">
        <v>93</v>
      </c>
      <c r="Q10">
        <v>1</v>
      </c>
    </row>
    <row r="11" spans="1:17" x14ac:dyDescent="0.25">
      <c r="A11" s="1" t="s">
        <v>75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O11">
        <f t="shared" si="0"/>
        <v>1</v>
      </c>
      <c r="P11" t="s">
        <v>93</v>
      </c>
      <c r="Q11">
        <v>1</v>
      </c>
    </row>
    <row r="12" spans="1:17" x14ac:dyDescent="0.25">
      <c r="A12" s="1" t="s">
        <v>76</v>
      </c>
      <c r="B12">
        <v>0</v>
      </c>
      <c r="C12">
        <v>0</v>
      </c>
      <c r="D12">
        <v>1</v>
      </c>
      <c r="G12">
        <v>1</v>
      </c>
      <c r="J12">
        <v>1</v>
      </c>
      <c r="M12">
        <v>1</v>
      </c>
      <c r="O12">
        <f t="shared" si="0"/>
        <v>1</v>
      </c>
      <c r="P12" t="s">
        <v>93</v>
      </c>
      <c r="Q12">
        <v>1</v>
      </c>
    </row>
    <row r="13" spans="1:17" x14ac:dyDescent="0.25">
      <c r="A13" s="1" t="s">
        <v>77</v>
      </c>
      <c r="E13">
        <v>1</v>
      </c>
      <c r="H13">
        <v>1</v>
      </c>
      <c r="J13">
        <v>1</v>
      </c>
      <c r="K13">
        <v>1</v>
      </c>
      <c r="M13">
        <v>1</v>
      </c>
      <c r="O13">
        <f t="shared" si="0"/>
        <v>1</v>
      </c>
      <c r="P13" t="s">
        <v>93</v>
      </c>
      <c r="Q13">
        <v>1</v>
      </c>
    </row>
    <row r="14" spans="1:17" x14ac:dyDescent="0.25">
      <c r="A14" s="1" t="s">
        <v>78</v>
      </c>
      <c r="B14">
        <v>1</v>
      </c>
      <c r="F14">
        <v>1</v>
      </c>
      <c r="K14">
        <v>1</v>
      </c>
      <c r="L14">
        <v>1</v>
      </c>
      <c r="O14">
        <f t="shared" si="0"/>
        <v>2</v>
      </c>
      <c r="P14" t="s">
        <v>93</v>
      </c>
      <c r="Q14">
        <v>1</v>
      </c>
    </row>
    <row r="15" spans="1:17" x14ac:dyDescent="0.25">
      <c r="A15" s="1" t="s">
        <v>79</v>
      </c>
      <c r="E15">
        <v>1</v>
      </c>
      <c r="F15">
        <v>1</v>
      </c>
      <c r="J15">
        <v>1</v>
      </c>
      <c r="O15">
        <f t="shared" si="0"/>
        <v>1</v>
      </c>
      <c r="P15" t="s">
        <v>93</v>
      </c>
      <c r="Q15">
        <v>1</v>
      </c>
    </row>
    <row r="16" spans="1:17" x14ac:dyDescent="0.25">
      <c r="A16" s="1" t="s">
        <v>80</v>
      </c>
      <c r="H16">
        <v>1</v>
      </c>
      <c r="I16">
        <v>1</v>
      </c>
      <c r="K16">
        <v>1</v>
      </c>
      <c r="L16">
        <v>1</v>
      </c>
      <c r="M16">
        <v>1</v>
      </c>
      <c r="O16">
        <f t="shared" si="0"/>
        <v>1</v>
      </c>
      <c r="P16" t="s">
        <v>93</v>
      </c>
      <c r="Q16">
        <v>1</v>
      </c>
    </row>
    <row r="17" spans="1:22" x14ac:dyDescent="0.25">
      <c r="A17" s="1" t="s">
        <v>81</v>
      </c>
      <c r="C17">
        <v>1</v>
      </c>
      <c r="E17">
        <v>1</v>
      </c>
      <c r="F17">
        <v>1</v>
      </c>
      <c r="J17">
        <v>1</v>
      </c>
      <c r="O17">
        <f t="shared" si="0"/>
        <v>1</v>
      </c>
      <c r="P17" t="s">
        <v>93</v>
      </c>
      <c r="Q17">
        <v>1</v>
      </c>
    </row>
    <row r="18" spans="1:22" x14ac:dyDescent="0.25">
      <c r="A18" s="1" t="s">
        <v>82</v>
      </c>
      <c r="F18">
        <v>1</v>
      </c>
      <c r="I18">
        <v>1</v>
      </c>
      <c r="L18">
        <v>1</v>
      </c>
      <c r="O18">
        <f t="shared" si="0"/>
        <v>1</v>
      </c>
      <c r="P18" t="s">
        <v>93</v>
      </c>
      <c r="Q18">
        <v>1</v>
      </c>
    </row>
    <row r="19" spans="1:22" x14ac:dyDescent="0.25">
      <c r="A19" s="1" t="s">
        <v>83</v>
      </c>
      <c r="D19">
        <v>1</v>
      </c>
      <c r="H19">
        <v>1</v>
      </c>
      <c r="I19">
        <v>1</v>
      </c>
      <c r="M19">
        <v>1</v>
      </c>
      <c r="O19">
        <f t="shared" si="0"/>
        <v>1</v>
      </c>
      <c r="P19" t="s">
        <v>93</v>
      </c>
      <c r="Q19">
        <v>1</v>
      </c>
    </row>
    <row r="20" spans="1:22" x14ac:dyDescent="0.25">
      <c r="A20" s="1" t="s">
        <v>84</v>
      </c>
      <c r="G20">
        <v>1</v>
      </c>
      <c r="J20">
        <v>1</v>
      </c>
      <c r="K20">
        <v>1</v>
      </c>
      <c r="L20">
        <v>1</v>
      </c>
      <c r="M20">
        <v>1</v>
      </c>
      <c r="O20">
        <f t="shared" si="0"/>
        <v>1</v>
      </c>
      <c r="P20" t="s">
        <v>93</v>
      </c>
      <c r="Q20">
        <v>1</v>
      </c>
    </row>
    <row r="23" spans="1:22" ht="16.5" customHeight="1" x14ac:dyDescent="0.25">
      <c r="A23" s="10" t="s">
        <v>152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7"/>
      <c r="S23" s="7"/>
      <c r="T23" s="7"/>
      <c r="U23" s="7"/>
      <c r="V23" s="7"/>
    </row>
    <row r="24" spans="1:22" ht="1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7"/>
      <c r="S24" s="7"/>
      <c r="T24" s="7"/>
      <c r="U24" s="7"/>
      <c r="V24" s="7"/>
    </row>
    <row r="25" spans="1:22" ht="29.2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7"/>
      <c r="S25" s="7"/>
      <c r="T25" s="7"/>
      <c r="U25" s="7"/>
      <c r="V25" s="7"/>
    </row>
    <row r="26" spans="1:2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</sheetData>
  <mergeCells count="2">
    <mergeCell ref="A1:B1"/>
    <mergeCell ref="A23:Q2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7C5-4070-4C77-B51A-F8FEC8364313}">
  <dimension ref="A1:G34"/>
  <sheetViews>
    <sheetView showGridLines="0" workbookViewId="0">
      <selection activeCell="H20" sqref="H20"/>
    </sheetView>
  </sheetViews>
  <sheetFormatPr defaultRowHeight="15" x14ac:dyDescent="0.25"/>
  <cols>
    <col min="1" max="1" width="2.28515625" customWidth="1"/>
    <col min="2" max="2" width="6.28515625" bestFit="1" customWidth="1"/>
    <col min="3" max="3" width="15" bestFit="1" customWidth="1"/>
    <col min="4" max="4" width="12.7109375" bestFit="1" customWidth="1"/>
    <col min="5" max="5" width="12.85546875" bestFit="1" customWidth="1"/>
    <col min="6" max="6" width="10.42578125" bestFit="1" customWidth="1"/>
    <col min="7" max="7" width="6" bestFit="1" customWidth="1"/>
  </cols>
  <sheetData>
    <row r="1" spans="1:5" x14ac:dyDescent="0.25">
      <c r="A1" s="1" t="s">
        <v>17</v>
      </c>
    </row>
    <row r="2" spans="1:5" x14ac:dyDescent="0.25">
      <c r="A2" s="1" t="s">
        <v>68</v>
      </c>
    </row>
    <row r="3" spans="1:5" x14ac:dyDescent="0.25">
      <c r="A3" s="1" t="s">
        <v>69</v>
      </c>
    </row>
    <row r="4" spans="1:5" x14ac:dyDescent="0.25">
      <c r="A4" s="1" t="s">
        <v>18</v>
      </c>
    </row>
    <row r="5" spans="1:5" x14ac:dyDescent="0.25">
      <c r="A5" s="1" t="s">
        <v>19</v>
      </c>
    </row>
    <row r="6" spans="1:5" x14ac:dyDescent="0.25">
      <c r="A6" s="1"/>
      <c r="B6" t="s">
        <v>20</v>
      </c>
    </row>
    <row r="7" spans="1:5" x14ac:dyDescent="0.25">
      <c r="A7" s="1"/>
      <c r="B7" t="s">
        <v>70</v>
      </c>
    </row>
    <row r="8" spans="1:5" x14ac:dyDescent="0.25">
      <c r="A8" s="1"/>
      <c r="B8" t="s">
        <v>21</v>
      </c>
    </row>
    <row r="9" spans="1:5" x14ac:dyDescent="0.25">
      <c r="A9" s="1" t="s">
        <v>22</v>
      </c>
    </row>
    <row r="10" spans="1:5" x14ac:dyDescent="0.25">
      <c r="B10" t="s">
        <v>23</v>
      </c>
    </row>
    <row r="11" spans="1:5" x14ac:dyDescent="0.25">
      <c r="B11" t="s">
        <v>24</v>
      </c>
    </row>
    <row r="14" spans="1:5" ht="15.75" thickBot="1" x14ac:dyDescent="0.3">
      <c r="A14" t="s">
        <v>25</v>
      </c>
    </row>
    <row r="15" spans="1:5" ht="15.75" thickBot="1" x14ac:dyDescent="0.3">
      <c r="B15" s="5" t="s">
        <v>26</v>
      </c>
      <c r="C15" s="5" t="s">
        <v>27</v>
      </c>
      <c r="D15" s="5" t="s">
        <v>28</v>
      </c>
      <c r="E15" s="5" t="s">
        <v>29</v>
      </c>
    </row>
    <row r="16" spans="1:5" ht="15.75" thickBot="1" x14ac:dyDescent="0.3">
      <c r="B16" s="4" t="s">
        <v>37</v>
      </c>
      <c r="C16" s="4" t="s">
        <v>38</v>
      </c>
      <c r="D16" s="4">
        <v>0</v>
      </c>
      <c r="E16" s="4">
        <v>8000</v>
      </c>
    </row>
    <row r="19" spans="1:7" ht="15.75" thickBot="1" x14ac:dyDescent="0.3">
      <c r="A19" t="s">
        <v>30</v>
      </c>
    </row>
    <row r="20" spans="1:7" ht="15.75" thickBot="1" x14ac:dyDescent="0.3"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31</v>
      </c>
    </row>
    <row r="21" spans="1:7" x14ac:dyDescent="0.25">
      <c r="B21" s="6" t="s">
        <v>39</v>
      </c>
      <c r="C21" s="6" t="s">
        <v>40</v>
      </c>
      <c r="D21" s="6">
        <v>0</v>
      </c>
      <c r="E21" s="6">
        <v>20000</v>
      </c>
      <c r="F21" s="6" t="s">
        <v>41</v>
      </c>
    </row>
    <row r="22" spans="1:7" x14ac:dyDescent="0.25">
      <c r="B22" s="6" t="s">
        <v>42</v>
      </c>
      <c r="C22" s="6" t="s">
        <v>43</v>
      </c>
      <c r="D22" s="6">
        <v>0</v>
      </c>
      <c r="E22" s="6">
        <v>30000</v>
      </c>
      <c r="F22" s="6" t="s">
        <v>41</v>
      </c>
    </row>
    <row r="23" spans="1:7" x14ac:dyDescent="0.25">
      <c r="B23" s="6" t="s">
        <v>44</v>
      </c>
      <c r="C23" s="6" t="s">
        <v>45</v>
      </c>
      <c r="D23" s="6">
        <v>0</v>
      </c>
      <c r="E23" s="6">
        <v>0</v>
      </c>
      <c r="F23" s="6" t="s">
        <v>41</v>
      </c>
    </row>
    <row r="24" spans="1:7" x14ac:dyDescent="0.25">
      <c r="B24" s="6" t="s">
        <v>46</v>
      </c>
      <c r="C24" s="6" t="s">
        <v>47</v>
      </c>
      <c r="D24" s="6">
        <v>0</v>
      </c>
      <c r="E24" s="6">
        <v>40000</v>
      </c>
      <c r="F24" s="6" t="s">
        <v>41</v>
      </c>
    </row>
    <row r="25" spans="1:7" ht="15.75" thickBot="1" x14ac:dyDescent="0.3">
      <c r="B25" s="4" t="s">
        <v>48</v>
      </c>
      <c r="C25" s="4" t="s">
        <v>49</v>
      </c>
      <c r="D25" s="4">
        <v>0</v>
      </c>
      <c r="E25" s="4">
        <v>10000</v>
      </c>
      <c r="F25" s="4" t="s">
        <v>41</v>
      </c>
    </row>
    <row r="28" spans="1:7" ht="15.75" thickBot="1" x14ac:dyDescent="0.3">
      <c r="A28" t="s">
        <v>32</v>
      </c>
    </row>
    <row r="29" spans="1:7" ht="15.75" thickBot="1" x14ac:dyDescent="0.3">
      <c r="B29" s="5" t="s">
        <v>26</v>
      </c>
      <c r="C29" s="5" t="s">
        <v>27</v>
      </c>
      <c r="D29" s="5" t="s">
        <v>33</v>
      </c>
      <c r="E29" s="5" t="s">
        <v>34</v>
      </c>
      <c r="F29" s="5" t="s">
        <v>35</v>
      </c>
      <c r="G29" s="5" t="s">
        <v>36</v>
      </c>
    </row>
    <row r="30" spans="1:7" x14ac:dyDescent="0.25">
      <c r="B30" s="6" t="s">
        <v>50</v>
      </c>
      <c r="C30" s="6" t="s">
        <v>51</v>
      </c>
      <c r="D30" s="6">
        <v>100000</v>
      </c>
      <c r="E30" s="6" t="s">
        <v>52</v>
      </c>
      <c r="F30" s="6" t="s">
        <v>53</v>
      </c>
      <c r="G30" s="6">
        <v>0</v>
      </c>
    </row>
    <row r="31" spans="1:7" x14ac:dyDescent="0.25">
      <c r="B31" s="6" t="s">
        <v>54</v>
      </c>
      <c r="C31" s="6" t="s">
        <v>55</v>
      </c>
      <c r="D31" s="6">
        <v>50000</v>
      </c>
      <c r="E31" s="6" t="s">
        <v>56</v>
      </c>
      <c r="F31" s="6" t="s">
        <v>53</v>
      </c>
      <c r="G31" s="6">
        <v>0</v>
      </c>
    </row>
    <row r="32" spans="1:7" x14ac:dyDescent="0.25">
      <c r="B32" s="6" t="s">
        <v>57</v>
      </c>
      <c r="C32" s="6" t="s">
        <v>58</v>
      </c>
      <c r="D32" s="6">
        <v>40000</v>
      </c>
      <c r="E32" s="6" t="s">
        <v>59</v>
      </c>
      <c r="F32" s="6" t="s">
        <v>60</v>
      </c>
      <c r="G32" s="6">
        <v>10000</v>
      </c>
    </row>
    <row r="33" spans="2:7" x14ac:dyDescent="0.25">
      <c r="B33" s="6" t="s">
        <v>61</v>
      </c>
      <c r="C33" s="6" t="s">
        <v>62</v>
      </c>
      <c r="D33" s="6">
        <v>0</v>
      </c>
      <c r="E33" s="6" t="s">
        <v>63</v>
      </c>
      <c r="F33" s="6" t="s">
        <v>53</v>
      </c>
      <c r="G33" s="6">
        <v>0</v>
      </c>
    </row>
    <row r="34" spans="2:7" ht="15.75" thickBot="1" x14ac:dyDescent="0.3">
      <c r="B34" s="4" t="s">
        <v>64</v>
      </c>
      <c r="C34" s="4" t="s">
        <v>65</v>
      </c>
      <c r="D34" s="4">
        <v>0</v>
      </c>
      <c r="E34" s="4" t="s">
        <v>66</v>
      </c>
      <c r="F34" s="4" t="s">
        <v>53</v>
      </c>
      <c r="G34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45C9-BB01-4E5F-9671-2E56F8103475}">
  <dimension ref="A1:G49"/>
  <sheetViews>
    <sheetView showGridLines="0" workbookViewId="0">
      <selection activeCell="J18" sqref="J18"/>
    </sheetView>
  </sheetViews>
  <sheetFormatPr defaultRowHeight="15" x14ac:dyDescent="0.25"/>
  <cols>
    <col min="1" max="1" width="2.28515625" customWidth="1"/>
    <col min="2" max="2" width="16.5703125" bestFit="1" customWidth="1"/>
    <col min="3" max="3" width="14.42578125" bestFit="1" customWidth="1"/>
    <col min="4" max="4" width="12.7109375" bestFit="1" customWidth="1"/>
    <col min="5" max="5" width="13.7109375" bestFit="1" customWidth="1"/>
    <col min="6" max="6" width="10.42578125" bestFit="1" customWidth="1"/>
    <col min="7" max="7" width="5.28515625" bestFit="1" customWidth="1"/>
  </cols>
  <sheetData>
    <row r="1" spans="1:5" x14ac:dyDescent="0.25">
      <c r="A1" s="1" t="s">
        <v>17</v>
      </c>
    </row>
    <row r="2" spans="1:5" x14ac:dyDescent="0.25">
      <c r="A2" s="1" t="s">
        <v>94</v>
      </c>
    </row>
    <row r="3" spans="1:5" x14ac:dyDescent="0.25">
      <c r="A3" s="1" t="s">
        <v>95</v>
      </c>
    </row>
    <row r="4" spans="1:5" x14ac:dyDescent="0.25">
      <c r="A4" s="1" t="s">
        <v>18</v>
      </c>
    </row>
    <row r="5" spans="1:5" x14ac:dyDescent="0.25">
      <c r="A5" s="1" t="s">
        <v>19</v>
      </c>
    </row>
    <row r="6" spans="1:5" x14ac:dyDescent="0.25">
      <c r="A6" s="1"/>
      <c r="B6" t="s">
        <v>20</v>
      </c>
    </row>
    <row r="7" spans="1:5" x14ac:dyDescent="0.25">
      <c r="A7" s="1"/>
      <c r="B7" t="s">
        <v>96</v>
      </c>
    </row>
    <row r="8" spans="1:5" x14ac:dyDescent="0.25">
      <c r="A8" s="1"/>
      <c r="B8" t="s">
        <v>97</v>
      </c>
    </row>
    <row r="9" spans="1:5" x14ac:dyDescent="0.25">
      <c r="A9" s="1" t="s">
        <v>22</v>
      </c>
    </row>
    <row r="10" spans="1:5" x14ac:dyDescent="0.25">
      <c r="B10" t="s">
        <v>23</v>
      </c>
    </row>
    <row r="11" spans="1:5" x14ac:dyDescent="0.25">
      <c r="B11" t="s">
        <v>24</v>
      </c>
    </row>
    <row r="14" spans="1:5" ht="15.75" thickBot="1" x14ac:dyDescent="0.3">
      <c r="A14" t="s">
        <v>98</v>
      </c>
    </row>
    <row r="15" spans="1:5" ht="15.75" thickBot="1" x14ac:dyDescent="0.3">
      <c r="B15" s="5" t="s">
        <v>26</v>
      </c>
      <c r="C15" s="5" t="s">
        <v>27</v>
      </c>
      <c r="D15" s="5" t="s">
        <v>28</v>
      </c>
      <c r="E15" s="5" t="s">
        <v>29</v>
      </c>
    </row>
    <row r="16" spans="1:5" ht="15.75" thickBot="1" x14ac:dyDescent="0.3">
      <c r="B16" s="4" t="s">
        <v>99</v>
      </c>
      <c r="C16" s="4" t="s">
        <v>38</v>
      </c>
      <c r="D16" s="4">
        <v>0</v>
      </c>
      <c r="E16" s="4">
        <v>18</v>
      </c>
    </row>
    <row r="19" spans="1:6" ht="15.75" thickBot="1" x14ac:dyDescent="0.3">
      <c r="A19" t="s">
        <v>30</v>
      </c>
    </row>
    <row r="20" spans="1:6" ht="15.75" thickBot="1" x14ac:dyDescent="0.3"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31</v>
      </c>
    </row>
    <row r="21" spans="1:6" x14ac:dyDescent="0.25">
      <c r="B21" s="6" t="s">
        <v>39</v>
      </c>
      <c r="C21" s="6" t="s">
        <v>40</v>
      </c>
      <c r="D21" s="6">
        <v>0</v>
      </c>
      <c r="E21" s="6">
        <v>1</v>
      </c>
      <c r="F21" s="6" t="s">
        <v>150</v>
      </c>
    </row>
    <row r="22" spans="1:6" x14ac:dyDescent="0.25">
      <c r="B22" s="6" t="s">
        <v>42</v>
      </c>
      <c r="C22" s="6" t="s">
        <v>43</v>
      </c>
      <c r="D22" s="6">
        <v>0</v>
      </c>
      <c r="E22" s="6">
        <v>0</v>
      </c>
      <c r="F22" s="6" t="s">
        <v>150</v>
      </c>
    </row>
    <row r="23" spans="1:6" x14ac:dyDescent="0.25">
      <c r="B23" s="6" t="s">
        <v>44</v>
      </c>
      <c r="C23" s="6" t="s">
        <v>45</v>
      </c>
      <c r="D23" s="6">
        <v>0</v>
      </c>
      <c r="E23" s="6">
        <v>0</v>
      </c>
      <c r="F23" s="6" t="s">
        <v>150</v>
      </c>
    </row>
    <row r="24" spans="1:6" x14ac:dyDescent="0.25">
      <c r="B24" s="6" t="s">
        <v>46</v>
      </c>
      <c r="C24" s="6" t="s">
        <v>47</v>
      </c>
      <c r="D24" s="6">
        <v>0</v>
      </c>
      <c r="E24" s="6">
        <v>0</v>
      </c>
      <c r="F24" s="6" t="s">
        <v>150</v>
      </c>
    </row>
    <row r="25" spans="1:6" x14ac:dyDescent="0.25">
      <c r="B25" s="6" t="s">
        <v>48</v>
      </c>
      <c r="C25" s="6" t="s">
        <v>49</v>
      </c>
      <c r="D25" s="6">
        <v>0</v>
      </c>
      <c r="E25" s="6">
        <v>1</v>
      </c>
      <c r="F25" s="6" t="s">
        <v>150</v>
      </c>
    </row>
    <row r="26" spans="1:6" x14ac:dyDescent="0.25">
      <c r="B26" s="6" t="s">
        <v>100</v>
      </c>
      <c r="C26" s="6" t="s">
        <v>101</v>
      </c>
      <c r="D26" s="6">
        <v>0</v>
      </c>
      <c r="E26" s="6">
        <v>0</v>
      </c>
      <c r="F26" s="6" t="s">
        <v>150</v>
      </c>
    </row>
    <row r="27" spans="1:6" x14ac:dyDescent="0.25">
      <c r="B27" s="6" t="s">
        <v>102</v>
      </c>
      <c r="C27" s="6" t="s">
        <v>103</v>
      </c>
      <c r="D27" s="6">
        <v>0</v>
      </c>
      <c r="E27" s="6">
        <v>0</v>
      </c>
      <c r="F27" s="6" t="s">
        <v>150</v>
      </c>
    </row>
    <row r="28" spans="1:6" x14ac:dyDescent="0.25">
      <c r="B28" s="6" t="s">
        <v>37</v>
      </c>
      <c r="C28" s="6" t="s">
        <v>104</v>
      </c>
      <c r="D28" s="6">
        <v>0</v>
      </c>
      <c r="E28" s="6">
        <v>0</v>
      </c>
      <c r="F28" s="6" t="s">
        <v>150</v>
      </c>
    </row>
    <row r="29" spans="1:6" x14ac:dyDescent="0.25">
      <c r="B29" s="6" t="s">
        <v>105</v>
      </c>
      <c r="C29" s="6" t="s">
        <v>106</v>
      </c>
      <c r="D29" s="6">
        <v>0</v>
      </c>
      <c r="E29" s="6">
        <v>0</v>
      </c>
      <c r="F29" s="6" t="s">
        <v>150</v>
      </c>
    </row>
    <row r="30" spans="1:6" x14ac:dyDescent="0.25">
      <c r="B30" s="6" t="s">
        <v>107</v>
      </c>
      <c r="C30" s="6" t="s">
        <v>108</v>
      </c>
      <c r="D30" s="6">
        <v>0</v>
      </c>
      <c r="E30" s="6">
        <v>0</v>
      </c>
      <c r="F30" s="6" t="s">
        <v>150</v>
      </c>
    </row>
    <row r="31" spans="1:6" x14ac:dyDescent="0.25">
      <c r="B31" s="6" t="s">
        <v>109</v>
      </c>
      <c r="C31" s="6" t="s">
        <v>110</v>
      </c>
      <c r="D31" s="6">
        <v>0</v>
      </c>
      <c r="E31" s="6">
        <v>0</v>
      </c>
      <c r="F31" s="6" t="s">
        <v>150</v>
      </c>
    </row>
    <row r="32" spans="1:6" ht="15.75" thickBot="1" x14ac:dyDescent="0.3">
      <c r="B32" s="4" t="s">
        <v>111</v>
      </c>
      <c r="C32" s="4" t="s">
        <v>112</v>
      </c>
      <c r="D32" s="4">
        <v>0</v>
      </c>
      <c r="E32" s="4">
        <v>1</v>
      </c>
      <c r="F32" s="4" t="s">
        <v>150</v>
      </c>
    </row>
    <row r="35" spans="1:7" ht="15.75" thickBot="1" x14ac:dyDescent="0.3">
      <c r="A35" t="s">
        <v>32</v>
      </c>
    </row>
    <row r="36" spans="1:7" ht="15.75" thickBot="1" x14ac:dyDescent="0.3">
      <c r="B36" s="5" t="s">
        <v>26</v>
      </c>
      <c r="C36" s="5" t="s">
        <v>27</v>
      </c>
      <c r="D36" s="5" t="s">
        <v>33</v>
      </c>
      <c r="E36" s="5" t="s">
        <v>34</v>
      </c>
      <c r="F36" s="5" t="s">
        <v>35</v>
      </c>
      <c r="G36" s="5" t="s">
        <v>36</v>
      </c>
    </row>
    <row r="37" spans="1:7" x14ac:dyDescent="0.25">
      <c r="B37" s="6" t="s">
        <v>113</v>
      </c>
      <c r="C37" s="6" t="s">
        <v>114</v>
      </c>
      <c r="D37" s="6">
        <v>1</v>
      </c>
      <c r="E37" s="6" t="s">
        <v>115</v>
      </c>
      <c r="F37" s="6" t="s">
        <v>53</v>
      </c>
      <c r="G37" s="6">
        <v>0</v>
      </c>
    </row>
    <row r="38" spans="1:7" x14ac:dyDescent="0.25">
      <c r="B38" s="6" t="s">
        <v>116</v>
      </c>
      <c r="C38" s="6" t="s">
        <v>117</v>
      </c>
      <c r="D38" s="6">
        <v>1</v>
      </c>
      <c r="E38" s="6" t="s">
        <v>118</v>
      </c>
      <c r="F38" s="6" t="s">
        <v>53</v>
      </c>
      <c r="G38" s="6">
        <v>0</v>
      </c>
    </row>
    <row r="39" spans="1:7" x14ac:dyDescent="0.25">
      <c r="B39" s="6" t="s">
        <v>119</v>
      </c>
      <c r="C39" s="6" t="s">
        <v>120</v>
      </c>
      <c r="D39" s="6">
        <v>1</v>
      </c>
      <c r="E39" s="6" t="s">
        <v>121</v>
      </c>
      <c r="F39" s="6" t="s">
        <v>53</v>
      </c>
      <c r="G39" s="6">
        <v>0</v>
      </c>
    </row>
    <row r="40" spans="1:7" x14ac:dyDescent="0.25">
      <c r="B40" s="6" t="s">
        <v>122</v>
      </c>
      <c r="C40" s="6" t="s">
        <v>123</v>
      </c>
      <c r="D40" s="6">
        <v>1</v>
      </c>
      <c r="E40" s="6" t="s">
        <v>124</v>
      </c>
      <c r="F40" s="6" t="s">
        <v>53</v>
      </c>
      <c r="G40" s="6">
        <v>0</v>
      </c>
    </row>
    <row r="41" spans="1:7" x14ac:dyDescent="0.25">
      <c r="B41" s="6" t="s">
        <v>125</v>
      </c>
      <c r="C41" s="6" t="s">
        <v>126</v>
      </c>
      <c r="D41" s="6">
        <v>2</v>
      </c>
      <c r="E41" s="6" t="s">
        <v>127</v>
      </c>
      <c r="F41" s="6" t="s">
        <v>60</v>
      </c>
      <c r="G41" s="6">
        <v>1</v>
      </c>
    </row>
    <row r="42" spans="1:7" x14ac:dyDescent="0.25">
      <c r="B42" s="6" t="s">
        <v>128</v>
      </c>
      <c r="C42" s="6" t="s">
        <v>129</v>
      </c>
      <c r="D42" s="6">
        <v>1</v>
      </c>
      <c r="E42" s="6" t="s">
        <v>130</v>
      </c>
      <c r="F42" s="6" t="s">
        <v>53</v>
      </c>
      <c r="G42" s="6">
        <v>0</v>
      </c>
    </row>
    <row r="43" spans="1:7" x14ac:dyDescent="0.25">
      <c r="B43" s="6" t="s">
        <v>131</v>
      </c>
      <c r="C43" s="6" t="s">
        <v>132</v>
      </c>
      <c r="D43" s="6">
        <v>1</v>
      </c>
      <c r="E43" s="6" t="s">
        <v>133</v>
      </c>
      <c r="F43" s="6" t="s">
        <v>53</v>
      </c>
      <c r="G43" s="6">
        <v>0</v>
      </c>
    </row>
    <row r="44" spans="1:7" x14ac:dyDescent="0.25">
      <c r="B44" s="6" t="s">
        <v>134</v>
      </c>
      <c r="C44" s="6" t="s">
        <v>135</v>
      </c>
      <c r="D44" s="6">
        <v>1</v>
      </c>
      <c r="E44" s="6" t="s">
        <v>136</v>
      </c>
      <c r="F44" s="6" t="s">
        <v>53</v>
      </c>
      <c r="G44" s="6">
        <v>0</v>
      </c>
    </row>
    <row r="45" spans="1:7" x14ac:dyDescent="0.25">
      <c r="B45" s="6" t="s">
        <v>137</v>
      </c>
      <c r="C45" s="6" t="s">
        <v>138</v>
      </c>
      <c r="D45" s="6">
        <v>1</v>
      </c>
      <c r="E45" s="6" t="s">
        <v>139</v>
      </c>
      <c r="F45" s="6" t="s">
        <v>53</v>
      </c>
      <c r="G45" s="6">
        <v>0</v>
      </c>
    </row>
    <row r="46" spans="1:7" x14ac:dyDescent="0.25">
      <c r="B46" s="6" t="s">
        <v>140</v>
      </c>
      <c r="C46" s="6" t="s">
        <v>141</v>
      </c>
      <c r="D46" s="6">
        <v>1</v>
      </c>
      <c r="E46" s="6" t="s">
        <v>142</v>
      </c>
      <c r="F46" s="6" t="s">
        <v>53</v>
      </c>
      <c r="G46" s="6">
        <v>0</v>
      </c>
    </row>
    <row r="47" spans="1:7" x14ac:dyDescent="0.25">
      <c r="B47" s="6" t="s">
        <v>143</v>
      </c>
      <c r="C47" s="6" t="s">
        <v>144</v>
      </c>
      <c r="D47" s="6">
        <v>1</v>
      </c>
      <c r="E47" s="6" t="s">
        <v>145</v>
      </c>
      <c r="F47" s="6" t="s">
        <v>53</v>
      </c>
      <c r="G47" s="6">
        <v>0</v>
      </c>
    </row>
    <row r="48" spans="1:7" x14ac:dyDescent="0.25">
      <c r="B48" s="6" t="s">
        <v>146</v>
      </c>
      <c r="C48" s="6" t="s">
        <v>147</v>
      </c>
      <c r="D48" s="6">
        <v>3</v>
      </c>
      <c r="E48" s="6" t="s">
        <v>148</v>
      </c>
      <c r="F48" s="6" t="s">
        <v>53</v>
      </c>
      <c r="G48" s="6">
        <v>0</v>
      </c>
    </row>
    <row r="49" spans="2:7" ht="15.75" thickBot="1" x14ac:dyDescent="0.3">
      <c r="B49" s="4" t="s">
        <v>149</v>
      </c>
      <c r="C49" s="4"/>
      <c r="D49" s="4"/>
      <c r="E49" s="4"/>
      <c r="F49" s="4"/>
      <c r="G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 MEMBERS</vt:lpstr>
      <vt:lpstr>QN1</vt:lpstr>
      <vt:lpstr>QN3</vt:lpstr>
      <vt:lpstr>Answer Report 1</vt:lpstr>
      <vt:lpstr>Answer Report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Hilda Ndambuki</dc:creator>
  <cp:lastModifiedBy>Jakes Kariuki</cp:lastModifiedBy>
  <dcterms:created xsi:type="dcterms:W3CDTF">2026-04-23T15:26:43Z</dcterms:created>
  <dcterms:modified xsi:type="dcterms:W3CDTF">2026-04-24T12:03:02Z</dcterms:modified>
</cp:coreProperties>
</file>