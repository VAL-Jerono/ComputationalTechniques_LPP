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7E8BD2BC-AC94-BB4A-A793-F022D5D96EA2}" xr6:coauthVersionLast="47" xr6:coauthVersionMax="47" xr10:uidLastSave="{00000000-0000-0000-0000-000000000000}"/>
  <bookViews>
    <workbookView xWindow="9820" yWindow="620" windowWidth="18920" windowHeight="16340" firstSheet="1" activeTab="6" xr2:uid="{021C6789-D23E-5E4F-8462-36C49BC41D24}"/>
  </bookViews>
  <sheets>
    <sheet name="Answer Report 1" sheetId="2" r:id="rId1"/>
    <sheet name="Sensitivity Report 1" sheetId="3" r:id="rId2"/>
    <sheet name="Limits Report 1" sheetId="4" r:id="rId3"/>
    <sheet name="Answer Report 2" sheetId="5" r:id="rId4"/>
    <sheet name="Sensitivity Report 2" sheetId="6" r:id="rId5"/>
    <sheet name="Limits Report 2" sheetId="7" r:id="rId6"/>
    <sheet name="Sheet1" sheetId="1" r:id="rId7"/>
  </sheets>
  <definedNames>
    <definedName name="solver_adj" localSheetId="6" hidden="1">Sheet1!$E$5:$H$5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itr" localSheetId="6" hidden="1">2147483647</definedName>
    <definedName name="solver_lhs1" localSheetId="6" hidden="1">Sheet1!$E$5:$H$5</definedName>
    <definedName name="solver_lhs2" localSheetId="6" hidden="1">Sheet1!$K$13:$K$15</definedName>
    <definedName name="solver_lhs3" localSheetId="6" hidden="1">Sheet1!$E$15:$H$15</definedName>
    <definedName name="solver_lhs4" localSheetId="6" hidden="1">Sheet1!$E$5:$H$5</definedName>
    <definedName name="solver_lin" localSheetId="6" hidden="1">1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opt" localSheetId="6" hidden="1">Sheet1!$L$5</definedName>
    <definedName name="solver_pre" localSheetId="6" hidden="1">0.000001</definedName>
    <definedName name="solver_rbv" localSheetId="6" hidden="1">1</definedName>
    <definedName name="solver_rel1" localSheetId="6" hidden="1">5</definedName>
    <definedName name="solver_rel2" localSheetId="6" hidden="1">1</definedName>
    <definedName name="solver_rel3" localSheetId="6" hidden="1">1</definedName>
    <definedName name="solver_rel4" localSheetId="6" hidden="1">5</definedName>
    <definedName name="solver_rhs1" localSheetId="6" hidden="1">"binary"</definedName>
    <definedName name="solver_rhs2" localSheetId="6" hidden="1">Sheet1!$M$13:$M$15</definedName>
    <definedName name="solver_rhs3" localSheetId="6" hidden="1">Sheet1!$M$15</definedName>
    <definedName name="solver_rhs4" localSheetId="6" hidden="1">"binary"</definedName>
    <definedName name="solver_rlx" localSheetId="6" hidden="1">1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K15" i="1"/>
  <c r="K14" i="1"/>
  <c r="K13" i="1"/>
</calcChain>
</file>

<file path=xl/sharedStrings.xml><?xml version="1.0" encoding="utf-8"?>
<sst xmlns="http://schemas.openxmlformats.org/spreadsheetml/2006/main" count="327" uniqueCount="122">
  <si>
    <t>Decision Variable</t>
  </si>
  <si>
    <t>Solution</t>
  </si>
  <si>
    <t>x1</t>
  </si>
  <si>
    <t>x2</t>
  </si>
  <si>
    <t>x3</t>
  </si>
  <si>
    <t>x4</t>
  </si>
  <si>
    <t>Returns</t>
  </si>
  <si>
    <t>Objective Fn Coeff</t>
  </si>
  <si>
    <t>Constraints</t>
  </si>
  <si>
    <t>Const1</t>
  </si>
  <si>
    <t>Const2</t>
  </si>
  <si>
    <t>Const3</t>
  </si>
  <si>
    <t>LHS</t>
  </si>
  <si>
    <t>RHS</t>
  </si>
  <si>
    <t>&lt;=</t>
  </si>
  <si>
    <t>Microsoft Excel 16.78 Answer Report</t>
  </si>
  <si>
    <t>Worksheet: [Book3]Sheet1</t>
  </si>
  <si>
    <t>Report Created: 30/04/2026 14:36:38</t>
  </si>
  <si>
    <t>Result: Solver found a solution.  All constraints and optimality conditions are satisfied.</t>
  </si>
  <si>
    <t>Solver Engine</t>
  </si>
  <si>
    <t>Engine: Simplex LP</t>
  </si>
  <si>
    <t>Solution Time: 1023.954 Seconds.</t>
  </si>
  <si>
    <t>Iterations: 4 Subproblems: 0</t>
  </si>
  <si>
    <t>Solver Options</t>
  </si>
  <si>
    <t>Max Time Unlimited, Iterations Unlimited, Precision 1E-06</t>
  </si>
  <si>
    <t>Max Subproblems Unlimited, Max Integer Sols Unlimited, Integer Tolerance 1%, Solve Without Integer Constraints,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</si>
  <si>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</si>
  <si>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</si>
  <si>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</si>
  <si>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</si>
  <si>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</si>
  <si>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</si>
  <si>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</si>
  <si>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</si>
  <si>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</si>
  <si>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</si>
  <si>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</si>
  <si>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$L$5</t>
  </si>
  <si>
    <t>Solution Returns</t>
  </si>
  <si>
    <t>$E$5</t>
  </si>
  <si>
    <t>Solution x1</t>
  </si>
  <si>
    <t>$F$5</t>
  </si>
  <si>
    <t>Solution x2</t>
  </si>
  <si>
    <t>$G$5</t>
  </si>
  <si>
    <t>Solution x3</t>
  </si>
  <si>
    <t>$H$5</t>
  </si>
  <si>
    <t>Solution x4</t>
  </si>
  <si>
    <t>$E$13</t>
  </si>
  <si>
    <t>Const1 x1</t>
  </si>
  <si>
    <t>$E$13&lt;=$M$13</t>
  </si>
  <si>
    <t>Not Binding</t>
  </si>
  <si>
    <t>$F$13</t>
  </si>
  <si>
    <t>Const1 x2</t>
  </si>
  <si>
    <t>$F$13&lt;=$M$13</t>
  </si>
  <si>
    <t>$G$13</t>
  </si>
  <si>
    <t>Const1 x3</t>
  </si>
  <si>
    <t>$G$13&lt;=$M$13</t>
  </si>
  <si>
    <t>$H$13</t>
  </si>
  <si>
    <t>Const1 x4</t>
  </si>
  <si>
    <t>$H$13&lt;=$M$13</t>
  </si>
  <si>
    <t>$E$14</t>
  </si>
  <si>
    <t>Const2 x1</t>
  </si>
  <si>
    <t>$E$14&lt;=$M$14</t>
  </si>
  <si>
    <t>$F$14</t>
  </si>
  <si>
    <t>Const2 x2</t>
  </si>
  <si>
    <t>$F$14&lt;=$M$14</t>
  </si>
  <si>
    <t>$G$14</t>
  </si>
  <si>
    <t>Const2 x3</t>
  </si>
  <si>
    <t>$G$14&lt;=$M$14</t>
  </si>
  <si>
    <t>$H$14</t>
  </si>
  <si>
    <t>Const2 x4</t>
  </si>
  <si>
    <t>$H$14&lt;=$M$14</t>
  </si>
  <si>
    <t>$E$15</t>
  </si>
  <si>
    <t>Const3 x1</t>
  </si>
  <si>
    <t>$E$15&lt;=$M$15</t>
  </si>
  <si>
    <t>$F$15</t>
  </si>
  <si>
    <t>Const3 x2</t>
  </si>
  <si>
    <t>$F$15&lt;=$M$15</t>
  </si>
  <si>
    <t>$G$15</t>
  </si>
  <si>
    <t>Const3 x3</t>
  </si>
  <si>
    <t>$G$15&lt;=$M$15</t>
  </si>
  <si>
    <t>$H$15</t>
  </si>
  <si>
    <t>Const3 x4</t>
  </si>
  <si>
    <t>$H$15&lt;=$M$15</t>
  </si>
  <si>
    <t>$E$5:$H$5=Binary</t>
  </si>
  <si>
    <t>Binary</t>
  </si>
  <si>
    <t>Microsoft Excel 16.78 Sensitivity Report</t>
  </si>
  <si>
    <t>Report Created: 30/04/2026 14:36:39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</si>
  <si>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</si>
  <si>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</si>
  <si>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</si>
  <si>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</si>
  <si>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</si>
  <si>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</si>
  <si>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</si>
  <si>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</si>
  <si>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</si>
  <si>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</si>
  <si>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</si>
  <si>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</si>
  <si>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</si>
  <si>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16.78 Limits Report</t>
  </si>
  <si>
    <t>Variable</t>
  </si>
  <si>
    <t>Lower</t>
  </si>
  <si>
    <t>Limit</t>
  </si>
  <si>
    <t>Result</t>
  </si>
  <si>
    <t>Upper</t>
  </si>
  <si>
    <t>Report Created: 30/04/2026 14:38:55</t>
  </si>
  <si>
    <t>Solution Time: 734.283 Seconds.</t>
  </si>
  <si>
    <t>Iterations: 5 Subproblems: 0</t>
  </si>
  <si>
    <t>Max Time Unlimited, Iterations Unlimited, Precision 0.000001</t>
  </si>
  <si>
    <t>$K$13</t>
  </si>
  <si>
    <t>Const1 LHS</t>
  </si>
  <si>
    <t>$K$13&lt;=$M$13</t>
  </si>
  <si>
    <t>Binding</t>
  </si>
  <si>
    <t>$K$14</t>
  </si>
  <si>
    <t>Const2 LHS</t>
  </si>
  <si>
    <t>$K$14&lt;=$M$14</t>
  </si>
  <si>
    <t>$K$15</t>
  </si>
  <si>
    <t>Const3 LHS</t>
  </si>
  <si>
    <t>$K$15&lt;=$M$15</t>
  </si>
  <si>
    <t>Report Created: 30/04/2026 14:38:56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</si>
</sst>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4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3BA2-822E-C54E-9A1D-3001E709D05C}">
  <dimension ref="A1:G41"/>
  <sheetViews>
    <sheetView showGridLines="0" workbookViewId="0"/>
  </sheetViews>
  <sheetFormatPr baseColWidth="10" defaultRowHeight="16" x14ac:dyDescent="0.2"/>
  <cols>
    <col min="1" max="1" width="2.33203125" customWidth="1"/>
    <col min="2" max="2" width="16" bestFit="1" customWidth="1"/>
    <col min="3" max="3" width="14.6640625" bestFit="1" customWidth="1"/>
    <col min="4" max="4" width="12.83203125" bestFit="1" customWidth="1"/>
    <col min="5" max="5" width="14.1640625" bestFit="1" customWidth="1"/>
    <col min="6" max="6" width="10.83203125" bestFit="1" customWidth="1"/>
    <col min="7" max="7" width="5.5" bestFit="1" customWidth="1"/>
  </cols>
  <sheetData>
    <row r="1" spans="1:5" x14ac:dyDescent="0.2">
      <c r="A1" s="4" t="s">
        <v>15</v>
      </c>
    </row>
    <row r="2" spans="1:5" x14ac:dyDescent="0.2">
      <c r="A2" s="4" t="s">
        <v>16</v>
      </c>
    </row>
    <row r="3" spans="1:5" x14ac:dyDescent="0.2">
      <c r="A3" s="4" t="s">
        <v>17</v>
      </c>
    </row>
    <row r="4" spans="1:5" x14ac:dyDescent="0.2">
      <c r="A4" s="4" t="s">
        <v>18</v>
      </c>
    </row>
    <row r="5" spans="1:5" x14ac:dyDescent="0.2">
      <c r="A5" s="4" t="s">
        <v>19</v>
      </c>
    </row>
    <row r="6" spans="1:5" x14ac:dyDescent="0.2">
      <c r="A6" s="4"/>
      <c r="B6" t="s">
        <v>20</v>
      </c>
    </row>
    <row r="7" spans="1:5" x14ac:dyDescent="0.2">
      <c r="A7" s="4"/>
      <c r="B7" t="s">
        <v>21</v>
      </c>
    </row>
    <row r="8" spans="1:5" x14ac:dyDescent="0.2">
      <c r="A8" s="4"/>
      <c r="B8" t="s">
        <v>22</v>
      </c>
    </row>
    <row r="9" spans="1:5" x14ac:dyDescent="0.2">
      <c r="A9" s="4" t="s">
        <v>23</v>
      </c>
    </row>
    <row r="10" spans="1:5" x14ac:dyDescent="0.2">
      <c r="B10" t="s">
        <v>24</v>
      </c>
    </row>
    <row r="11" spans="1:5" x14ac:dyDescent="0.2">
      <c r="B11" t="s">
        <v>25</v>
      </c>
    </row>
    <row r="14" spans="1:5" ht="17" thickBot="1" x14ac:dyDescent="0.25">
      <c r="A14" t="s">
        <v>26</v>
      </c>
    </row>
    <row r="15" spans="1:5" ht="17" thickBot="1" x14ac:dyDescent="0.25">
      <c r="B15" s="6" t="s">
        <v>27</v>
      </c>
      <c r="C15" s="6" t="s">
        <v>28</v>
      </c>
      <c r="D15" s="6" t="s">
        <v>29</v>
      </c>
      <c r="E15" s="6" t="s">
        <v>30</v>
      </c>
    </row>
    <row r="16" spans="1:5" ht="17" thickBot="1" x14ac:dyDescent="0.25">
      <c r="B16" s="5" t="s">
        <v>37</v>
      </c>
      <c r="C16" s="5" t="s">
        <v>38</v>
      </c>
      <c r="D16" s="8">
        <v>0</v>
      </c>
      <c r="E16" s="8">
        <v>539</v>
      </c>
    </row>
    <row r="19" spans="1:7" ht="17" thickBot="1" x14ac:dyDescent="0.25">
      <c r="A19" t="s">
        <v>31</v>
      </c>
    </row>
    <row r="20" spans="1:7" ht="17" thickBot="1" x14ac:dyDescent="0.25">
      <c r="B20" s="6" t="s">
        <v>27</v>
      </c>
      <c r="C20" s="6" t="s">
        <v>28</v>
      </c>
      <c r="D20" s="6" t="s">
        <v>29</v>
      </c>
      <c r="E20" s="6" t="s">
        <v>30</v>
      </c>
      <c r="F20" s="6" t="s">
        <v>32</v>
      </c>
    </row>
    <row r="21" spans="1:7" x14ac:dyDescent="0.2">
      <c r="B21" s="7" t="s">
        <v>39</v>
      </c>
      <c r="C21" s="7" t="s">
        <v>40</v>
      </c>
      <c r="D21" s="9">
        <v>0</v>
      </c>
      <c r="E21" s="9">
        <v>1</v>
      </c>
      <c r="F21" s="7" t="s">
        <v>85</v>
      </c>
    </row>
    <row r="22" spans="1:7" x14ac:dyDescent="0.2">
      <c r="B22" s="7" t="s">
        <v>41</v>
      </c>
      <c r="C22" s="7" t="s">
        <v>42</v>
      </c>
      <c r="D22" s="9">
        <v>0</v>
      </c>
      <c r="E22" s="9">
        <v>1</v>
      </c>
      <c r="F22" s="7" t="s">
        <v>85</v>
      </c>
    </row>
    <row r="23" spans="1:7" x14ac:dyDescent="0.2">
      <c r="B23" s="7" t="s">
        <v>43</v>
      </c>
      <c r="C23" s="7" t="s">
        <v>44</v>
      </c>
      <c r="D23" s="9">
        <v>0</v>
      </c>
      <c r="E23" s="9">
        <v>1</v>
      </c>
      <c r="F23" s="7" t="s">
        <v>85</v>
      </c>
    </row>
    <row r="24" spans="1:7" ht="17" thickBot="1" x14ac:dyDescent="0.25">
      <c r="B24" s="5" t="s">
        <v>45</v>
      </c>
      <c r="C24" s="5" t="s">
        <v>46</v>
      </c>
      <c r="D24" s="8">
        <v>0</v>
      </c>
      <c r="E24" s="8">
        <v>1</v>
      </c>
      <c r="F24" s="5" t="s">
        <v>85</v>
      </c>
    </row>
    <row r="27" spans="1:7" ht="17" thickBot="1" x14ac:dyDescent="0.25">
      <c r="A27" t="s">
        <v>8</v>
      </c>
    </row>
    <row r="28" spans="1:7" ht="17" thickBot="1" x14ac:dyDescent="0.25">
      <c r="B28" s="6" t="s">
        <v>27</v>
      </c>
      <c r="C28" s="6" t="s">
        <v>28</v>
      </c>
      <c r="D28" s="6" t="s">
        <v>33</v>
      </c>
      <c r="E28" s="6" t="s">
        <v>34</v>
      </c>
      <c r="F28" s="6" t="s">
        <v>35</v>
      </c>
      <c r="G28" s="6" t="s">
        <v>36</v>
      </c>
    </row>
    <row r="29" spans="1:7" x14ac:dyDescent="0.2">
      <c r="B29" s="7" t="s">
        <v>47</v>
      </c>
      <c r="C29" s="7" t="s">
        <v>48</v>
      </c>
      <c r="D29" s="9">
        <v>58</v>
      </c>
      <c r="E29" s="7" t="s">
        <v>49</v>
      </c>
      <c r="F29" s="7" t="s">
        <v>50</v>
      </c>
      <c r="G29" s="7">
        <v>62</v>
      </c>
    </row>
    <row r="30" spans="1:7" x14ac:dyDescent="0.2">
      <c r="B30" s="7" t="s">
        <v>51</v>
      </c>
      <c r="C30" s="7" t="s">
        <v>52</v>
      </c>
      <c r="D30" s="9">
        <v>44</v>
      </c>
      <c r="E30" s="7" t="s">
        <v>53</v>
      </c>
      <c r="F30" s="7" t="s">
        <v>50</v>
      </c>
      <c r="G30" s="7">
        <v>76</v>
      </c>
    </row>
    <row r="31" spans="1:7" x14ac:dyDescent="0.2">
      <c r="B31" s="7" t="s">
        <v>54</v>
      </c>
      <c r="C31" s="7" t="s">
        <v>55</v>
      </c>
      <c r="D31" s="9">
        <v>26</v>
      </c>
      <c r="E31" s="7" t="s">
        <v>56</v>
      </c>
      <c r="F31" s="7" t="s">
        <v>50</v>
      </c>
      <c r="G31" s="7">
        <v>94</v>
      </c>
    </row>
    <row r="32" spans="1:7" x14ac:dyDescent="0.2">
      <c r="B32" s="7" t="s">
        <v>57</v>
      </c>
      <c r="C32" s="7" t="s">
        <v>58</v>
      </c>
      <c r="D32" s="9">
        <v>23</v>
      </c>
      <c r="E32" s="7" t="s">
        <v>59</v>
      </c>
      <c r="F32" s="7" t="s">
        <v>50</v>
      </c>
      <c r="G32" s="7">
        <v>97</v>
      </c>
    </row>
    <row r="33" spans="2:7" x14ac:dyDescent="0.2">
      <c r="B33" s="7" t="s">
        <v>60</v>
      </c>
      <c r="C33" s="7" t="s">
        <v>61</v>
      </c>
      <c r="D33" s="9">
        <v>25</v>
      </c>
      <c r="E33" s="7" t="s">
        <v>62</v>
      </c>
      <c r="F33" s="7" t="s">
        <v>50</v>
      </c>
      <c r="G33" s="7">
        <v>55</v>
      </c>
    </row>
    <row r="34" spans="2:7" x14ac:dyDescent="0.2">
      <c r="B34" s="7" t="s">
        <v>63</v>
      </c>
      <c r="C34" s="7" t="s">
        <v>64</v>
      </c>
      <c r="D34" s="9">
        <v>29</v>
      </c>
      <c r="E34" s="7" t="s">
        <v>65</v>
      </c>
      <c r="F34" s="7" t="s">
        <v>50</v>
      </c>
      <c r="G34" s="7">
        <v>51</v>
      </c>
    </row>
    <row r="35" spans="2:7" x14ac:dyDescent="0.2">
      <c r="B35" s="7" t="s">
        <v>66</v>
      </c>
      <c r="C35" s="7" t="s">
        <v>67</v>
      </c>
      <c r="D35" s="9">
        <v>13</v>
      </c>
      <c r="E35" s="7" t="s">
        <v>68</v>
      </c>
      <c r="F35" s="7" t="s">
        <v>50</v>
      </c>
      <c r="G35" s="7">
        <v>67</v>
      </c>
    </row>
    <row r="36" spans="2:7" x14ac:dyDescent="0.2">
      <c r="B36" s="7" t="s">
        <v>69</v>
      </c>
      <c r="C36" s="7" t="s">
        <v>70</v>
      </c>
      <c r="D36" s="9">
        <v>17</v>
      </c>
      <c r="E36" s="7" t="s">
        <v>71</v>
      </c>
      <c r="F36" s="7" t="s">
        <v>50</v>
      </c>
      <c r="G36" s="7">
        <v>63</v>
      </c>
    </row>
    <row r="37" spans="2:7" x14ac:dyDescent="0.2">
      <c r="B37" s="7" t="s">
        <v>72</v>
      </c>
      <c r="C37" s="7" t="s">
        <v>73</v>
      </c>
      <c r="D37" s="9">
        <v>43</v>
      </c>
      <c r="E37" s="7" t="s">
        <v>74</v>
      </c>
      <c r="F37" s="7" t="s">
        <v>50</v>
      </c>
      <c r="G37" s="7">
        <v>52</v>
      </c>
    </row>
    <row r="38" spans="2:7" x14ac:dyDescent="0.2">
      <c r="B38" s="7" t="s">
        <v>75</v>
      </c>
      <c r="C38" s="7" t="s">
        <v>76</v>
      </c>
      <c r="D38" s="9">
        <v>25</v>
      </c>
      <c r="E38" s="7" t="s">
        <v>77</v>
      </c>
      <c r="F38" s="7" t="s">
        <v>50</v>
      </c>
      <c r="G38" s="7">
        <v>70</v>
      </c>
    </row>
    <row r="39" spans="2:7" x14ac:dyDescent="0.2">
      <c r="B39" s="7" t="s">
        <v>78</v>
      </c>
      <c r="C39" s="7" t="s">
        <v>79</v>
      </c>
      <c r="D39" s="9">
        <v>23</v>
      </c>
      <c r="E39" s="7" t="s">
        <v>80</v>
      </c>
      <c r="F39" s="7" t="s">
        <v>50</v>
      </c>
      <c r="G39" s="7">
        <v>72</v>
      </c>
    </row>
    <row r="40" spans="2:7" x14ac:dyDescent="0.2">
      <c r="B40" s="7" t="s">
        <v>81</v>
      </c>
      <c r="C40" s="7" t="s">
        <v>82</v>
      </c>
      <c r="D40" s="9">
        <v>29</v>
      </c>
      <c r="E40" s="7" t="s">
        <v>83</v>
      </c>
      <c r="F40" s="7" t="s">
        <v>50</v>
      </c>
      <c r="G40" s="7">
        <v>66</v>
      </c>
    </row>
    <row r="41" spans="2:7" ht="17" thickBot="1" x14ac:dyDescent="0.25">
      <c r="B41" s="5" t="s">
        <v>84</v>
      </c>
      <c r="C41" s="5"/>
      <c r="D41" s="5"/>
      <c r="E41" s="5"/>
      <c r="F41" s="5"/>
      <c r="G4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AE4F-4CE8-884E-BD8A-DB31CAFBE036}">
  <dimension ref="A1:H28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5" bestFit="1" customWidth="1"/>
    <col min="3" max="3" width="10.1640625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</cols>
  <sheetData>
    <row r="1" spans="1:8" x14ac:dyDescent="0.2">
      <c r="A1" s="4" t="s">
        <v>86</v>
      </c>
    </row>
    <row r="2" spans="1:8" x14ac:dyDescent="0.2">
      <c r="A2" s="4" t="s">
        <v>16</v>
      </c>
    </row>
    <row r="3" spans="1:8" x14ac:dyDescent="0.2">
      <c r="A3" s="4" t="s">
        <v>87</v>
      </c>
    </row>
    <row r="6" spans="1:8" ht="17" thickBot="1" x14ac:dyDescent="0.25">
      <c r="A6" t="s">
        <v>31</v>
      </c>
    </row>
    <row r="7" spans="1:8" x14ac:dyDescent="0.2">
      <c r="B7" s="10"/>
      <c r="C7" s="10"/>
      <c r="D7" s="10" t="s">
        <v>88</v>
      </c>
      <c r="E7" s="10" t="s">
        <v>90</v>
      </c>
      <c r="F7" s="10" t="s">
        <v>92</v>
      </c>
      <c r="G7" s="10" t="s">
        <v>94</v>
      </c>
      <c r="H7" s="10" t="s">
        <v>94</v>
      </c>
    </row>
    <row r="8" spans="1:8" ht="17" thickBot="1" x14ac:dyDescent="0.25">
      <c r="B8" s="11" t="s">
        <v>27</v>
      </c>
      <c r="C8" s="11" t="s">
        <v>28</v>
      </c>
      <c r="D8" s="11" t="s">
        <v>89</v>
      </c>
      <c r="E8" s="11" t="s">
        <v>91</v>
      </c>
      <c r="F8" s="11" t="s">
        <v>93</v>
      </c>
      <c r="G8" s="11" t="s">
        <v>95</v>
      </c>
      <c r="H8" s="11" t="s">
        <v>96</v>
      </c>
    </row>
    <row r="9" spans="1:8" x14ac:dyDescent="0.2">
      <c r="B9" s="7" t="s">
        <v>39</v>
      </c>
      <c r="C9" s="7" t="s">
        <v>40</v>
      </c>
      <c r="D9" s="7">
        <v>1</v>
      </c>
      <c r="E9" s="7">
        <v>217</v>
      </c>
      <c r="F9" s="7">
        <v>217</v>
      </c>
      <c r="G9" s="7">
        <v>1E+30</v>
      </c>
      <c r="H9" s="7">
        <v>217</v>
      </c>
    </row>
    <row r="10" spans="1:8" x14ac:dyDescent="0.2">
      <c r="B10" s="7" t="s">
        <v>41</v>
      </c>
      <c r="C10" s="7" t="s">
        <v>42</v>
      </c>
      <c r="D10" s="7">
        <v>1</v>
      </c>
      <c r="E10" s="7">
        <v>125</v>
      </c>
      <c r="F10" s="7">
        <v>125</v>
      </c>
      <c r="G10" s="7">
        <v>1E+30</v>
      </c>
      <c r="H10" s="7">
        <v>125</v>
      </c>
    </row>
    <row r="11" spans="1:8" x14ac:dyDescent="0.2">
      <c r="B11" s="7" t="s">
        <v>43</v>
      </c>
      <c r="C11" s="7" t="s">
        <v>44</v>
      </c>
      <c r="D11" s="7">
        <v>1</v>
      </c>
      <c r="E11" s="7">
        <v>88</v>
      </c>
      <c r="F11" s="7">
        <v>88</v>
      </c>
      <c r="G11" s="7">
        <v>1E+30</v>
      </c>
      <c r="H11" s="7">
        <v>88</v>
      </c>
    </row>
    <row r="12" spans="1:8" ht="17" thickBot="1" x14ac:dyDescent="0.25">
      <c r="B12" s="5" t="s">
        <v>45</v>
      </c>
      <c r="C12" s="5" t="s">
        <v>46</v>
      </c>
      <c r="D12" s="5">
        <v>1</v>
      </c>
      <c r="E12" s="5">
        <v>109</v>
      </c>
      <c r="F12" s="5">
        <v>109</v>
      </c>
      <c r="G12" s="5">
        <v>1E+30</v>
      </c>
      <c r="H12" s="5">
        <v>109</v>
      </c>
    </row>
    <row r="14" spans="1:8" ht="17" thickBot="1" x14ac:dyDescent="0.25">
      <c r="A14" t="s">
        <v>8</v>
      </c>
    </row>
    <row r="15" spans="1:8" x14ac:dyDescent="0.2">
      <c r="B15" s="10"/>
      <c r="C15" s="10"/>
      <c r="D15" s="10" t="s">
        <v>88</v>
      </c>
      <c r="E15" s="10" t="s">
        <v>97</v>
      </c>
      <c r="F15" s="10" t="s">
        <v>99</v>
      </c>
      <c r="G15" s="10" t="s">
        <v>94</v>
      </c>
      <c r="H15" s="10" t="s">
        <v>94</v>
      </c>
    </row>
    <row r="16" spans="1:8" ht="17" thickBot="1" x14ac:dyDescent="0.25">
      <c r="B16" s="11" t="s">
        <v>27</v>
      </c>
      <c r="C16" s="11" t="s">
        <v>28</v>
      </c>
      <c r="D16" s="11" t="s">
        <v>89</v>
      </c>
      <c r="E16" s="11" t="s">
        <v>98</v>
      </c>
      <c r="F16" s="11" t="s">
        <v>100</v>
      </c>
      <c r="G16" s="11" t="s">
        <v>95</v>
      </c>
      <c r="H16" s="11" t="s">
        <v>96</v>
      </c>
    </row>
    <row r="17" spans="2:8" x14ac:dyDescent="0.2">
      <c r="B17" s="7" t="s">
        <v>47</v>
      </c>
      <c r="C17" s="7" t="s">
        <v>48</v>
      </c>
      <c r="D17" s="7">
        <v>58</v>
      </c>
      <c r="E17" s="7">
        <v>0</v>
      </c>
      <c r="F17" s="7">
        <v>120</v>
      </c>
      <c r="G17" s="7">
        <v>1E+30</v>
      </c>
      <c r="H17" s="7">
        <v>62</v>
      </c>
    </row>
    <row r="18" spans="2:8" x14ac:dyDescent="0.2">
      <c r="B18" s="7" t="s">
        <v>51</v>
      </c>
      <c r="C18" s="7" t="s">
        <v>52</v>
      </c>
      <c r="D18" s="7">
        <v>44</v>
      </c>
      <c r="E18" s="7">
        <v>0</v>
      </c>
      <c r="F18" s="7">
        <v>120</v>
      </c>
      <c r="G18" s="7">
        <v>1E+30</v>
      </c>
      <c r="H18" s="7">
        <v>76</v>
      </c>
    </row>
    <row r="19" spans="2:8" x14ac:dyDescent="0.2">
      <c r="B19" s="7" t="s">
        <v>54</v>
      </c>
      <c r="C19" s="7" t="s">
        <v>55</v>
      </c>
      <c r="D19" s="7">
        <v>26</v>
      </c>
      <c r="E19" s="7">
        <v>0</v>
      </c>
      <c r="F19" s="7">
        <v>120</v>
      </c>
      <c r="G19" s="7">
        <v>1E+30</v>
      </c>
      <c r="H19" s="7">
        <v>94</v>
      </c>
    </row>
    <row r="20" spans="2:8" x14ac:dyDescent="0.2">
      <c r="B20" s="7" t="s">
        <v>57</v>
      </c>
      <c r="C20" s="7" t="s">
        <v>58</v>
      </c>
      <c r="D20" s="7">
        <v>23</v>
      </c>
      <c r="E20" s="7">
        <v>0</v>
      </c>
      <c r="F20" s="7">
        <v>120</v>
      </c>
      <c r="G20" s="7">
        <v>1E+30</v>
      </c>
      <c r="H20" s="7">
        <v>97</v>
      </c>
    </row>
    <row r="21" spans="2:8" x14ac:dyDescent="0.2">
      <c r="B21" s="7" t="s">
        <v>60</v>
      </c>
      <c r="C21" s="7" t="s">
        <v>61</v>
      </c>
      <c r="D21" s="7">
        <v>25</v>
      </c>
      <c r="E21" s="7">
        <v>0</v>
      </c>
      <c r="F21" s="7">
        <v>80</v>
      </c>
      <c r="G21" s="7">
        <v>1E+30</v>
      </c>
      <c r="H21" s="7">
        <v>55</v>
      </c>
    </row>
    <row r="22" spans="2:8" x14ac:dyDescent="0.2">
      <c r="B22" s="7" t="s">
        <v>63</v>
      </c>
      <c r="C22" s="7" t="s">
        <v>64</v>
      </c>
      <c r="D22" s="7">
        <v>29</v>
      </c>
      <c r="E22" s="7">
        <v>0</v>
      </c>
      <c r="F22" s="7">
        <v>80</v>
      </c>
      <c r="G22" s="7">
        <v>1E+30</v>
      </c>
      <c r="H22" s="7">
        <v>51</v>
      </c>
    </row>
    <row r="23" spans="2:8" x14ac:dyDescent="0.2">
      <c r="B23" s="7" t="s">
        <v>66</v>
      </c>
      <c r="C23" s="7" t="s">
        <v>67</v>
      </c>
      <c r="D23" s="7">
        <v>13</v>
      </c>
      <c r="E23" s="7">
        <v>0</v>
      </c>
      <c r="F23" s="7">
        <v>80</v>
      </c>
      <c r="G23" s="7">
        <v>1E+30</v>
      </c>
      <c r="H23" s="7">
        <v>67</v>
      </c>
    </row>
    <row r="24" spans="2:8" x14ac:dyDescent="0.2">
      <c r="B24" s="7" t="s">
        <v>69</v>
      </c>
      <c r="C24" s="7" t="s">
        <v>70</v>
      </c>
      <c r="D24" s="7">
        <v>17</v>
      </c>
      <c r="E24" s="7">
        <v>0</v>
      </c>
      <c r="F24" s="7">
        <v>80</v>
      </c>
      <c r="G24" s="7">
        <v>1E+30</v>
      </c>
      <c r="H24" s="7">
        <v>63</v>
      </c>
    </row>
    <row r="25" spans="2:8" x14ac:dyDescent="0.2">
      <c r="B25" s="7" t="s">
        <v>72</v>
      </c>
      <c r="C25" s="7" t="s">
        <v>73</v>
      </c>
      <c r="D25" s="7">
        <v>43</v>
      </c>
      <c r="E25" s="7">
        <v>0</v>
      </c>
      <c r="F25" s="7">
        <v>95</v>
      </c>
      <c r="G25" s="7">
        <v>1E+30</v>
      </c>
      <c r="H25" s="7">
        <v>52</v>
      </c>
    </row>
    <row r="26" spans="2:8" x14ac:dyDescent="0.2">
      <c r="B26" s="7" t="s">
        <v>75</v>
      </c>
      <c r="C26" s="7" t="s">
        <v>76</v>
      </c>
      <c r="D26" s="7">
        <v>25</v>
      </c>
      <c r="E26" s="7">
        <v>0</v>
      </c>
      <c r="F26" s="7">
        <v>95</v>
      </c>
      <c r="G26" s="7">
        <v>1E+30</v>
      </c>
      <c r="H26" s="7">
        <v>70</v>
      </c>
    </row>
    <row r="27" spans="2:8" x14ac:dyDescent="0.2">
      <c r="B27" s="7" t="s">
        <v>78</v>
      </c>
      <c r="C27" s="7" t="s">
        <v>79</v>
      </c>
      <c r="D27" s="7">
        <v>23</v>
      </c>
      <c r="E27" s="7">
        <v>0</v>
      </c>
      <c r="F27" s="7">
        <v>95</v>
      </c>
      <c r="G27" s="7">
        <v>1E+30</v>
      </c>
      <c r="H27" s="7">
        <v>72</v>
      </c>
    </row>
    <row r="28" spans="2:8" ht="17" thickBot="1" x14ac:dyDescent="0.25">
      <c r="B28" s="5" t="s">
        <v>81</v>
      </c>
      <c r="C28" s="5" t="s">
        <v>82</v>
      </c>
      <c r="D28" s="5">
        <v>29</v>
      </c>
      <c r="E28" s="5">
        <v>0</v>
      </c>
      <c r="F28" s="5">
        <v>95</v>
      </c>
      <c r="G28" s="5">
        <v>1E+30</v>
      </c>
      <c r="H28" s="5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E869-96F6-6144-8F0F-80921E55CF3F}">
  <dimension ref="A1:J1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4.664062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4" t="s">
        <v>101</v>
      </c>
    </row>
    <row r="2" spans="1:10" x14ac:dyDescent="0.2">
      <c r="A2" s="4" t="s">
        <v>16</v>
      </c>
    </row>
    <row r="3" spans="1:10" x14ac:dyDescent="0.2">
      <c r="A3" s="4" t="s">
        <v>87</v>
      </c>
    </row>
    <row r="5" spans="1:10" ht="17" thickBot="1" x14ac:dyDescent="0.25"/>
    <row r="6" spans="1:10" x14ac:dyDescent="0.2">
      <c r="B6" s="10"/>
      <c r="C6" s="10" t="s">
        <v>92</v>
      </c>
      <c r="D6" s="10"/>
    </row>
    <row r="7" spans="1:10" ht="17" thickBot="1" x14ac:dyDescent="0.25">
      <c r="B7" s="11" t="s">
        <v>27</v>
      </c>
      <c r="C7" s="11" t="s">
        <v>28</v>
      </c>
      <c r="D7" s="11" t="s">
        <v>89</v>
      </c>
    </row>
    <row r="8" spans="1:10" ht="17" thickBot="1" x14ac:dyDescent="0.25">
      <c r="B8" s="5" t="s">
        <v>37</v>
      </c>
      <c r="C8" s="5" t="s">
        <v>38</v>
      </c>
      <c r="D8" s="8">
        <v>539</v>
      </c>
    </row>
    <row r="10" spans="1:10" ht="17" thickBot="1" x14ac:dyDescent="0.25"/>
    <row r="11" spans="1:10" x14ac:dyDescent="0.2">
      <c r="B11" s="10"/>
      <c r="C11" s="10" t="s">
        <v>102</v>
      </c>
      <c r="D11" s="10"/>
      <c r="F11" s="10" t="s">
        <v>103</v>
      </c>
      <c r="G11" s="10" t="s">
        <v>92</v>
      </c>
      <c r="I11" s="10" t="s">
        <v>106</v>
      </c>
      <c r="J11" s="10" t="s">
        <v>92</v>
      </c>
    </row>
    <row r="12" spans="1:10" ht="17" thickBot="1" x14ac:dyDescent="0.25">
      <c r="B12" s="11" t="s">
        <v>27</v>
      </c>
      <c r="C12" s="11" t="s">
        <v>28</v>
      </c>
      <c r="D12" s="11" t="s">
        <v>89</v>
      </c>
      <c r="F12" s="11" t="s">
        <v>104</v>
      </c>
      <c r="G12" s="11" t="s">
        <v>105</v>
      </c>
      <c r="I12" s="11" t="s">
        <v>104</v>
      </c>
      <c r="J12" s="11" t="s">
        <v>105</v>
      </c>
    </row>
    <row r="13" spans="1:10" x14ac:dyDescent="0.2">
      <c r="B13" s="7" t="s">
        <v>39</v>
      </c>
      <c r="C13" s="7" t="s">
        <v>40</v>
      </c>
      <c r="D13" s="9">
        <v>1</v>
      </c>
      <c r="F13" s="9">
        <v>0</v>
      </c>
      <c r="G13" s="9">
        <v>85</v>
      </c>
      <c r="I13" s="9">
        <v>250</v>
      </c>
      <c r="J13" s="9">
        <v>18835</v>
      </c>
    </row>
    <row r="14" spans="1:10" x14ac:dyDescent="0.2">
      <c r="B14" s="7" t="s">
        <v>41</v>
      </c>
      <c r="C14" s="7" t="s">
        <v>42</v>
      </c>
      <c r="D14" s="9">
        <v>1</v>
      </c>
      <c r="F14" s="9">
        <v>0</v>
      </c>
      <c r="G14" s="9">
        <v>110</v>
      </c>
      <c r="I14" s="9">
        <v>398.5</v>
      </c>
      <c r="J14" s="9">
        <v>20035</v>
      </c>
    </row>
    <row r="15" spans="1:10" x14ac:dyDescent="0.2">
      <c r="B15" s="7" t="s">
        <v>43</v>
      </c>
      <c r="C15" s="7" t="s">
        <v>44</v>
      </c>
      <c r="D15" s="9">
        <v>1</v>
      </c>
      <c r="F15" s="9">
        <v>0</v>
      </c>
      <c r="G15" s="9">
        <v>125</v>
      </c>
      <c r="I15" s="9">
        <v>597</v>
      </c>
      <c r="J15" s="9">
        <v>21020</v>
      </c>
    </row>
    <row r="16" spans="1:10" ht="17" thickBot="1" x14ac:dyDescent="0.25">
      <c r="B16" s="5" t="s">
        <v>45</v>
      </c>
      <c r="C16" s="5" t="s">
        <v>46</v>
      </c>
      <c r="D16" s="8">
        <v>1</v>
      </c>
      <c r="F16" s="8"/>
      <c r="G16" s="8"/>
      <c r="I16" s="8"/>
      <c r="J1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5B1A-AC6A-514D-A83E-67E76D3D8098}">
  <dimension ref="A1:G32"/>
  <sheetViews>
    <sheetView showGridLines="0" workbookViewId="0"/>
  </sheetViews>
  <sheetFormatPr baseColWidth="10" defaultRowHeight="16" x14ac:dyDescent="0.2"/>
  <cols>
    <col min="1" max="1" width="2.33203125" customWidth="1"/>
    <col min="2" max="2" width="16" bestFit="1" customWidth="1"/>
    <col min="3" max="3" width="14.6640625" bestFit="1" customWidth="1"/>
    <col min="4" max="4" width="12.83203125" bestFit="1" customWidth="1"/>
    <col min="5" max="5" width="13.83203125" bestFit="1" customWidth="1"/>
    <col min="6" max="6" width="10.83203125" bestFit="1" customWidth="1"/>
    <col min="7" max="7" width="12.1640625" bestFit="1" customWidth="1"/>
  </cols>
  <sheetData>
    <row r="1" spans="1:5" x14ac:dyDescent="0.2">
      <c r="A1" s="4" t="s">
        <v>15</v>
      </c>
    </row>
    <row r="2" spans="1:5" x14ac:dyDescent="0.2">
      <c r="A2" s="4" t="s">
        <v>16</v>
      </c>
    </row>
    <row r="3" spans="1:5" x14ac:dyDescent="0.2">
      <c r="A3" s="4" t="s">
        <v>107</v>
      </c>
    </row>
    <row r="4" spans="1:5" x14ac:dyDescent="0.2">
      <c r="A4" s="4" t="s">
        <v>18</v>
      </c>
    </row>
    <row r="5" spans="1:5" x14ac:dyDescent="0.2">
      <c r="A5" s="4" t="s">
        <v>19</v>
      </c>
    </row>
    <row r="6" spans="1:5" x14ac:dyDescent="0.2">
      <c r="A6" s="4"/>
      <c r="B6" t="s">
        <v>20</v>
      </c>
    </row>
    <row r="7" spans="1:5" x14ac:dyDescent="0.2">
      <c r="A7" s="4"/>
      <c r="B7" t="s">
        <v>108</v>
      </c>
    </row>
    <row r="8" spans="1:5" x14ac:dyDescent="0.2">
      <c r="A8" s="4"/>
      <c r="B8" t="s">
        <v>109</v>
      </c>
    </row>
    <row r="9" spans="1:5" x14ac:dyDescent="0.2">
      <c r="A9" s="4" t="s">
        <v>23</v>
      </c>
    </row>
    <row r="10" spans="1:5" x14ac:dyDescent="0.2">
      <c r="B10" t="s">
        <v>110</v>
      </c>
    </row>
    <row r="11" spans="1:5" x14ac:dyDescent="0.2">
      <c r="B11" t="s">
        <v>25</v>
      </c>
    </row>
    <row r="14" spans="1:5" ht="17" thickBot="1" x14ac:dyDescent="0.25">
      <c r="A14" t="s">
        <v>26</v>
      </c>
    </row>
    <row r="15" spans="1:5" ht="17" thickBot="1" x14ac:dyDescent="0.25">
      <c r="B15" s="6" t="s">
        <v>27</v>
      </c>
      <c r="C15" s="6" t="s">
        <v>28</v>
      </c>
      <c r="D15" s="6" t="s">
        <v>29</v>
      </c>
      <c r="E15" s="6" t="s">
        <v>30</v>
      </c>
    </row>
    <row r="16" spans="1:5" ht="17" thickBot="1" x14ac:dyDescent="0.25">
      <c r="B16" s="5" t="s">
        <v>37</v>
      </c>
      <c r="C16" s="5" t="s">
        <v>38</v>
      </c>
      <c r="D16" s="8">
        <v>539</v>
      </c>
      <c r="E16" s="8">
        <v>438.24033149171271</v>
      </c>
    </row>
    <row r="19" spans="1:7" ht="17" thickBot="1" x14ac:dyDescent="0.25">
      <c r="A19" t="s">
        <v>31</v>
      </c>
    </row>
    <row r="20" spans="1:7" ht="17" thickBot="1" x14ac:dyDescent="0.25">
      <c r="B20" s="6" t="s">
        <v>27</v>
      </c>
      <c r="C20" s="6" t="s">
        <v>28</v>
      </c>
      <c r="D20" s="6" t="s">
        <v>29</v>
      </c>
      <c r="E20" s="6" t="s">
        <v>30</v>
      </c>
      <c r="F20" s="6" t="s">
        <v>32</v>
      </c>
    </row>
    <row r="21" spans="1:7" x14ac:dyDescent="0.2">
      <c r="B21" s="7" t="s">
        <v>39</v>
      </c>
      <c r="C21" s="7" t="s">
        <v>40</v>
      </c>
      <c r="D21" s="9">
        <v>1</v>
      </c>
      <c r="E21" s="9">
        <v>1</v>
      </c>
      <c r="F21" s="7" t="s">
        <v>85</v>
      </c>
    </row>
    <row r="22" spans="1:7" x14ac:dyDescent="0.2">
      <c r="B22" s="7" t="s">
        <v>41</v>
      </c>
      <c r="C22" s="7" t="s">
        <v>42</v>
      </c>
      <c r="D22" s="9">
        <v>1</v>
      </c>
      <c r="E22" s="9">
        <v>0.82596685082872912</v>
      </c>
      <c r="F22" s="7" t="s">
        <v>85</v>
      </c>
    </row>
    <row r="23" spans="1:7" x14ac:dyDescent="0.2">
      <c r="B23" s="7" t="s">
        <v>43</v>
      </c>
      <c r="C23" s="7" t="s">
        <v>44</v>
      </c>
      <c r="D23" s="9">
        <v>1</v>
      </c>
      <c r="E23" s="9">
        <v>0.10220994475138154</v>
      </c>
      <c r="F23" s="7" t="s">
        <v>85</v>
      </c>
    </row>
    <row r="24" spans="1:7" ht="17" thickBot="1" x14ac:dyDescent="0.25">
      <c r="B24" s="5" t="s">
        <v>45</v>
      </c>
      <c r="C24" s="5" t="s">
        <v>46</v>
      </c>
      <c r="D24" s="8">
        <v>1</v>
      </c>
      <c r="E24" s="8">
        <v>1</v>
      </c>
      <c r="F24" s="5" t="s">
        <v>85</v>
      </c>
    </row>
    <row r="27" spans="1:7" ht="17" thickBot="1" x14ac:dyDescent="0.25">
      <c r="A27" t="s">
        <v>8</v>
      </c>
    </row>
    <row r="28" spans="1:7" ht="17" thickBot="1" x14ac:dyDescent="0.25">
      <c r="B28" s="6" t="s">
        <v>27</v>
      </c>
      <c r="C28" s="6" t="s">
        <v>28</v>
      </c>
      <c r="D28" s="6" t="s">
        <v>33</v>
      </c>
      <c r="E28" s="6" t="s">
        <v>34</v>
      </c>
      <c r="F28" s="6" t="s">
        <v>35</v>
      </c>
      <c r="G28" s="6" t="s">
        <v>36</v>
      </c>
    </row>
    <row r="29" spans="1:7" x14ac:dyDescent="0.2">
      <c r="B29" s="7" t="s">
        <v>111</v>
      </c>
      <c r="C29" s="7" t="s">
        <v>112</v>
      </c>
      <c r="D29" s="9">
        <v>120</v>
      </c>
      <c r="E29" s="7" t="s">
        <v>113</v>
      </c>
      <c r="F29" s="7" t="s">
        <v>114</v>
      </c>
      <c r="G29" s="7">
        <v>0</v>
      </c>
    </row>
    <row r="30" spans="1:7" x14ac:dyDescent="0.2">
      <c r="B30" s="7" t="s">
        <v>115</v>
      </c>
      <c r="C30" s="7" t="s">
        <v>116</v>
      </c>
      <c r="D30" s="9">
        <v>67.281767955801115</v>
      </c>
      <c r="E30" s="7" t="s">
        <v>117</v>
      </c>
      <c r="F30" s="7" t="s">
        <v>50</v>
      </c>
      <c r="G30" s="7">
        <v>12.718232044198885</v>
      </c>
    </row>
    <row r="31" spans="1:7" x14ac:dyDescent="0.2">
      <c r="B31" s="7" t="s">
        <v>118</v>
      </c>
      <c r="C31" s="7" t="s">
        <v>119</v>
      </c>
      <c r="D31" s="9">
        <v>95</v>
      </c>
      <c r="E31" s="7" t="s">
        <v>120</v>
      </c>
      <c r="F31" s="7" t="s">
        <v>114</v>
      </c>
      <c r="G31" s="7">
        <v>0</v>
      </c>
    </row>
    <row r="32" spans="1:7" ht="17" thickBot="1" x14ac:dyDescent="0.25">
      <c r="B32" s="5" t="s">
        <v>84</v>
      </c>
      <c r="C32" s="5"/>
      <c r="D32" s="5"/>
      <c r="E32" s="5"/>
      <c r="F32" s="5"/>
      <c r="G3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8A62-9EF5-9044-B877-1073859F90DC}">
  <dimension ref="A1:H19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1640625" bestFit="1" customWidth="1"/>
    <col min="3" max="3" width="10.1640625" bestFit="1" customWidth="1"/>
    <col min="4" max="5" width="12.1640625" bestFit="1" customWidth="1"/>
    <col min="6" max="6" width="10" bestFit="1" customWidth="1"/>
    <col min="7" max="8" width="12.1640625" bestFit="1" customWidth="1"/>
  </cols>
  <sheetData>
    <row r="1" spans="1:8" x14ac:dyDescent="0.2">
      <c r="A1" s="4" t="s">
        <v>86</v>
      </c>
    </row>
    <row r="2" spans="1:8" x14ac:dyDescent="0.2">
      <c r="A2" s="4" t="s">
        <v>16</v>
      </c>
    </row>
    <row r="3" spans="1:8" x14ac:dyDescent="0.2">
      <c r="A3" s="4" t="s">
        <v>121</v>
      </c>
    </row>
    <row r="6" spans="1:8" ht="17" thickBot="1" x14ac:dyDescent="0.25">
      <c r="A6" t="s">
        <v>31</v>
      </c>
    </row>
    <row r="7" spans="1:8" x14ac:dyDescent="0.2">
      <c r="B7" s="10"/>
      <c r="C7" s="10"/>
      <c r="D7" s="10" t="s">
        <v>88</v>
      </c>
      <c r="E7" s="10" t="s">
        <v>90</v>
      </c>
      <c r="F7" s="10" t="s">
        <v>92</v>
      </c>
      <c r="G7" s="10" t="s">
        <v>94</v>
      </c>
      <c r="H7" s="10" t="s">
        <v>94</v>
      </c>
    </row>
    <row r="8" spans="1:8" ht="17" thickBot="1" x14ac:dyDescent="0.25">
      <c r="B8" s="11" t="s">
        <v>27</v>
      </c>
      <c r="C8" s="11" t="s">
        <v>28</v>
      </c>
      <c r="D8" s="11" t="s">
        <v>89</v>
      </c>
      <c r="E8" s="11" t="s">
        <v>91</v>
      </c>
      <c r="F8" s="11" t="s">
        <v>93</v>
      </c>
      <c r="G8" s="11" t="s">
        <v>95</v>
      </c>
      <c r="H8" s="11" t="s">
        <v>96</v>
      </c>
    </row>
    <row r="9" spans="1:8" x14ac:dyDescent="0.2">
      <c r="B9" s="7" t="s">
        <v>39</v>
      </c>
      <c r="C9" s="7" t="s">
        <v>40</v>
      </c>
      <c r="D9" s="7">
        <v>1</v>
      </c>
      <c r="E9" s="7">
        <v>34.966850828729278</v>
      </c>
      <c r="F9" s="7">
        <v>217</v>
      </c>
      <c r="G9" s="7">
        <v>1E+30</v>
      </c>
      <c r="H9" s="7">
        <v>34.966850828729278</v>
      </c>
    </row>
    <row r="10" spans="1:8" x14ac:dyDescent="0.2">
      <c r="B10" s="7" t="s">
        <v>41</v>
      </c>
      <c r="C10" s="7" t="s">
        <v>42</v>
      </c>
      <c r="D10" s="7">
        <v>0.82596685082872912</v>
      </c>
      <c r="E10" s="7">
        <v>0</v>
      </c>
      <c r="F10" s="7">
        <v>125</v>
      </c>
      <c r="G10" s="7">
        <v>23.923076923076934</v>
      </c>
      <c r="H10" s="7">
        <v>26.199999999999982</v>
      </c>
    </row>
    <row r="11" spans="1:8" x14ac:dyDescent="0.2">
      <c r="B11" s="7" t="s">
        <v>43</v>
      </c>
      <c r="C11" s="7" t="s">
        <v>44</v>
      </c>
      <c r="D11" s="7">
        <v>0.10220994475138154</v>
      </c>
      <c r="E11" s="7">
        <v>0</v>
      </c>
      <c r="F11" s="7">
        <v>88</v>
      </c>
      <c r="G11" s="7">
        <v>8.4094151212553427</v>
      </c>
      <c r="H11" s="7">
        <v>14.13636363636364</v>
      </c>
    </row>
    <row r="12" spans="1:8" ht="17" thickBot="1" x14ac:dyDescent="0.25">
      <c r="B12" s="5" t="s">
        <v>45</v>
      </c>
      <c r="C12" s="5" t="s">
        <v>46</v>
      </c>
      <c r="D12" s="5">
        <v>1</v>
      </c>
      <c r="E12" s="5">
        <v>16.284530386740318</v>
      </c>
      <c r="F12" s="5">
        <v>109</v>
      </c>
      <c r="G12" s="5">
        <v>1E+30</v>
      </c>
      <c r="H12" s="5">
        <v>16.284530386740318</v>
      </c>
    </row>
    <row r="14" spans="1:8" ht="17" thickBot="1" x14ac:dyDescent="0.25">
      <c r="A14" t="s">
        <v>8</v>
      </c>
    </row>
    <row r="15" spans="1:8" x14ac:dyDescent="0.2">
      <c r="B15" s="10"/>
      <c r="C15" s="10"/>
      <c r="D15" s="10" t="s">
        <v>88</v>
      </c>
      <c r="E15" s="10" t="s">
        <v>97</v>
      </c>
      <c r="F15" s="10" t="s">
        <v>99</v>
      </c>
      <c r="G15" s="10" t="s">
        <v>94</v>
      </c>
      <c r="H15" s="10" t="s">
        <v>94</v>
      </c>
    </row>
    <row r="16" spans="1:8" ht="17" thickBot="1" x14ac:dyDescent="0.25">
      <c r="B16" s="11" t="s">
        <v>27</v>
      </c>
      <c r="C16" s="11" t="s">
        <v>28</v>
      </c>
      <c r="D16" s="11" t="s">
        <v>89</v>
      </c>
      <c r="E16" s="11" t="s">
        <v>98</v>
      </c>
      <c r="F16" s="11" t="s">
        <v>100</v>
      </c>
      <c r="G16" s="11" t="s">
        <v>95</v>
      </c>
      <c r="H16" s="11" t="s">
        <v>96</v>
      </c>
    </row>
    <row r="17" spans="2:8" x14ac:dyDescent="0.2">
      <c r="B17" s="7" t="s">
        <v>111</v>
      </c>
      <c r="C17" s="7" t="s">
        <v>112</v>
      </c>
      <c r="D17" s="7">
        <v>120</v>
      </c>
      <c r="E17" s="7">
        <v>1.8646408839778998</v>
      </c>
      <c r="F17" s="7">
        <v>120</v>
      </c>
      <c r="G17" s="7">
        <v>1.4800000000000042</v>
      </c>
      <c r="H17" s="7">
        <v>12.999999999999991</v>
      </c>
    </row>
    <row r="18" spans="2:8" x14ac:dyDescent="0.2">
      <c r="B18" s="7" t="s">
        <v>115</v>
      </c>
      <c r="C18" s="7" t="s">
        <v>116</v>
      </c>
      <c r="D18" s="7">
        <v>67.281767955801115</v>
      </c>
      <c r="E18" s="7">
        <v>0</v>
      </c>
      <c r="F18" s="7">
        <v>80</v>
      </c>
      <c r="G18" s="7">
        <v>1E+30</v>
      </c>
      <c r="H18" s="7">
        <v>12.718232044198897</v>
      </c>
    </row>
    <row r="19" spans="2:8" ht="17" thickBot="1" x14ac:dyDescent="0.25">
      <c r="B19" s="5" t="s">
        <v>118</v>
      </c>
      <c r="C19" s="5" t="s">
        <v>119</v>
      </c>
      <c r="D19" s="5">
        <v>95</v>
      </c>
      <c r="E19" s="5">
        <v>1.7182320441988956</v>
      </c>
      <c r="F19" s="5">
        <v>95</v>
      </c>
      <c r="G19" s="5">
        <v>7.3863636363636331</v>
      </c>
      <c r="H19" s="5">
        <v>0.84090909090909349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A5B8-8148-DE44-A41E-F1333DC8556E}">
  <dimension ref="A1:J1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4.6640625" bestFit="1" customWidth="1"/>
    <col min="4" max="4" width="12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4" t="s">
        <v>101</v>
      </c>
    </row>
    <row r="2" spans="1:10" x14ac:dyDescent="0.2">
      <c r="A2" s="4" t="s">
        <v>16</v>
      </c>
    </row>
    <row r="3" spans="1:10" x14ac:dyDescent="0.2">
      <c r="A3" s="4" t="s">
        <v>121</v>
      </c>
    </row>
    <row r="5" spans="1:10" ht="17" thickBot="1" x14ac:dyDescent="0.25"/>
    <row r="6" spans="1:10" x14ac:dyDescent="0.2">
      <c r="B6" s="10"/>
      <c r="C6" s="10" t="s">
        <v>92</v>
      </c>
      <c r="D6" s="10"/>
    </row>
    <row r="7" spans="1:10" ht="17" thickBot="1" x14ac:dyDescent="0.25">
      <c r="B7" s="11" t="s">
        <v>27</v>
      </c>
      <c r="C7" s="11" t="s">
        <v>28</v>
      </c>
      <c r="D7" s="11" t="s">
        <v>89</v>
      </c>
    </row>
    <row r="8" spans="1:10" ht="17" thickBot="1" x14ac:dyDescent="0.25">
      <c r="B8" s="5" t="s">
        <v>37</v>
      </c>
      <c r="C8" s="5" t="s">
        <v>38</v>
      </c>
      <c r="D8" s="8">
        <v>438.24033149171271</v>
      </c>
    </row>
    <row r="10" spans="1:10" ht="17" thickBot="1" x14ac:dyDescent="0.25"/>
    <row r="11" spans="1:10" x14ac:dyDescent="0.2">
      <c r="B11" s="10"/>
      <c r="C11" s="10" t="s">
        <v>102</v>
      </c>
      <c r="D11" s="10"/>
      <c r="F11" s="10" t="s">
        <v>103</v>
      </c>
      <c r="G11" s="10" t="s">
        <v>92</v>
      </c>
      <c r="I11" s="10" t="s">
        <v>106</v>
      </c>
      <c r="J11" s="10" t="s">
        <v>92</v>
      </c>
    </row>
    <row r="12" spans="1:10" ht="17" thickBot="1" x14ac:dyDescent="0.25">
      <c r="B12" s="11" t="s">
        <v>27</v>
      </c>
      <c r="C12" s="11" t="s">
        <v>28</v>
      </c>
      <c r="D12" s="11" t="s">
        <v>89</v>
      </c>
      <c r="F12" s="11" t="s">
        <v>104</v>
      </c>
      <c r="G12" s="11" t="s">
        <v>105</v>
      </c>
      <c r="I12" s="11" t="s">
        <v>104</v>
      </c>
      <c r="J12" s="11" t="s">
        <v>105</v>
      </c>
    </row>
    <row r="13" spans="1:10" x14ac:dyDescent="0.2">
      <c r="B13" s="7" t="s">
        <v>39</v>
      </c>
      <c r="C13" s="7" t="s">
        <v>40</v>
      </c>
      <c r="D13" s="9">
        <v>1</v>
      </c>
      <c r="F13" s="9">
        <v>0</v>
      </c>
      <c r="G13" s="9">
        <v>85</v>
      </c>
      <c r="I13" s="9">
        <v>250</v>
      </c>
      <c r="J13" s="9">
        <v>18835</v>
      </c>
    </row>
    <row r="14" spans="1:10" x14ac:dyDescent="0.2">
      <c r="B14" s="7" t="s">
        <v>41</v>
      </c>
      <c r="C14" s="7" t="s">
        <v>42</v>
      </c>
      <c r="D14" s="9">
        <v>0.82596685082872912</v>
      </c>
      <c r="F14" s="9">
        <v>0</v>
      </c>
      <c r="G14" s="9">
        <v>110</v>
      </c>
      <c r="I14" s="9">
        <v>398.5</v>
      </c>
      <c r="J14" s="9">
        <v>20035</v>
      </c>
    </row>
    <row r="15" spans="1:10" x14ac:dyDescent="0.2">
      <c r="B15" s="7" t="s">
        <v>43</v>
      </c>
      <c r="C15" s="7" t="s">
        <v>44</v>
      </c>
      <c r="D15" s="9">
        <v>0.10220994475138154</v>
      </c>
      <c r="F15" s="9">
        <v>0</v>
      </c>
      <c r="G15" s="9">
        <v>125</v>
      </c>
      <c r="I15" s="9">
        <v>597</v>
      </c>
      <c r="J15" s="9">
        <v>21020</v>
      </c>
    </row>
    <row r="16" spans="1:10" ht="17" thickBot="1" x14ac:dyDescent="0.25">
      <c r="B16" s="5" t="s">
        <v>45</v>
      </c>
      <c r="C16" s="5" t="s">
        <v>46</v>
      </c>
      <c r="D16" s="8">
        <v>1</v>
      </c>
      <c r="F16" s="8"/>
      <c r="G16" s="8"/>
      <c r="I16" s="8"/>
      <c r="J1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4B95-EDD8-C945-82B0-EC0279DF89D9}">
  <dimension ref="B4:M15"/>
  <sheetViews>
    <sheetView tabSelected="1" workbookViewId="0">
      <selection activeCell="E5" sqref="E5"/>
    </sheetView>
  </sheetViews>
  <sheetFormatPr baseColWidth="10" defaultRowHeight="16" x14ac:dyDescent="0.2"/>
  <sheetData>
    <row r="4" spans="2:13" x14ac:dyDescent="0.2">
      <c r="B4" t="s">
        <v>0</v>
      </c>
      <c r="E4" t="s">
        <v>2</v>
      </c>
      <c r="F4" t="s">
        <v>3</v>
      </c>
      <c r="G4" t="s">
        <v>4</v>
      </c>
      <c r="H4" t="s">
        <v>5</v>
      </c>
      <c r="L4" t="s">
        <v>6</v>
      </c>
    </row>
    <row r="5" spans="2:13" x14ac:dyDescent="0.2">
      <c r="B5" t="s">
        <v>1</v>
      </c>
      <c r="E5" s="1">
        <v>1</v>
      </c>
      <c r="F5" s="1">
        <v>0.82596685082872912</v>
      </c>
      <c r="G5" s="1">
        <v>0.10220994475138154</v>
      </c>
      <c r="H5" s="1">
        <v>1</v>
      </c>
      <c r="L5" s="2">
        <f>SUMPRODUCT(E5:H5,E8:H8)</f>
        <v>438.24033149171271</v>
      </c>
    </row>
    <row r="8" spans="2:13" x14ac:dyDescent="0.2">
      <c r="B8" t="s">
        <v>7</v>
      </c>
      <c r="E8">
        <v>217</v>
      </c>
      <c r="F8">
        <v>125</v>
      </c>
      <c r="G8">
        <v>88</v>
      </c>
      <c r="H8">
        <v>109</v>
      </c>
    </row>
    <row r="11" spans="2:13" x14ac:dyDescent="0.2">
      <c r="K11" t="s">
        <v>12</v>
      </c>
      <c r="M11" t="s">
        <v>13</v>
      </c>
    </row>
    <row r="12" spans="2:13" x14ac:dyDescent="0.2">
      <c r="B12" t="s">
        <v>8</v>
      </c>
    </row>
    <row r="13" spans="2:13" x14ac:dyDescent="0.2">
      <c r="B13" t="s">
        <v>9</v>
      </c>
      <c r="E13">
        <v>58</v>
      </c>
      <c r="F13">
        <v>44</v>
      </c>
      <c r="G13">
        <v>26</v>
      </c>
      <c r="H13">
        <v>23</v>
      </c>
      <c r="K13" s="3">
        <f>SUMPRODUCT(E5:H5,E13:H13)</f>
        <v>120</v>
      </c>
      <c r="L13" t="s">
        <v>14</v>
      </c>
      <c r="M13">
        <v>120</v>
      </c>
    </row>
    <row r="14" spans="2:13" x14ac:dyDescent="0.2">
      <c r="B14" t="s">
        <v>10</v>
      </c>
      <c r="E14">
        <v>25</v>
      </c>
      <c r="F14">
        <v>29</v>
      </c>
      <c r="G14">
        <v>13</v>
      </c>
      <c r="H14">
        <v>17</v>
      </c>
      <c r="K14" s="3">
        <f>SUMPRODUCT(E5:H5,E14:H14)</f>
        <v>67.281767955801115</v>
      </c>
      <c r="L14" t="s">
        <v>14</v>
      </c>
      <c r="M14">
        <v>80</v>
      </c>
    </row>
    <row r="15" spans="2:13" x14ac:dyDescent="0.2">
      <c r="B15" t="s">
        <v>11</v>
      </c>
      <c r="E15">
        <v>43</v>
      </c>
      <c r="F15">
        <v>25</v>
      </c>
      <c r="G15">
        <v>23</v>
      </c>
      <c r="H15">
        <v>29</v>
      </c>
      <c r="K15" s="3">
        <f>SUMPRODUCT(E5:H5,E15:H15)</f>
        <v>95</v>
      </c>
      <c r="L15" t="s">
        <v>14</v>
      </c>
      <c r="M15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2026-04-30T11:24:15Z</dcterms:created>
  <dcterms:modified xsi:type="dcterms:W3CDTF">2026-04-30T11:39:37Z</dcterms:modified>
</cp:coreProperties>
</file>