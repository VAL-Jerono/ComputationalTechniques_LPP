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8_{B764880C-D6FA-EF44-BFC0-8AFA258DAE48}" xr6:coauthVersionLast="47" xr6:coauthVersionMax="47" xr10:uidLastSave="{00000000-0000-0000-0000-000000000000}"/>
  <bookViews>
    <workbookView xWindow="12680" yWindow="1000" windowWidth="15740" windowHeight="15900" activeTab="1" xr2:uid="{05F0B73A-1F39-8F4C-AF8C-F76102A763BF}"/>
  </bookViews>
  <sheets>
    <sheet name="Answer Report 1" sheetId="2" r:id="rId1"/>
    <sheet name="Sheet1" sheetId="1" r:id="rId2"/>
  </sheets>
  <definedNames>
    <definedName name="solver_adj" localSheetId="1" hidden="1">Sheet1!$D$4:$G$4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Sheet1!$D$4:$G$4</definedName>
    <definedName name="solver_lhs2" localSheetId="1" hidden="1">Sheet1!$I$10:$I$12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opt" localSheetId="1" hidden="1">Sheet1!$J$4</definedName>
    <definedName name="solver_pre" localSheetId="1" hidden="1">0.000001</definedName>
    <definedName name="solver_rbv" localSheetId="1" hidden="1">1</definedName>
    <definedName name="solver_rel1" localSheetId="1" hidden="1">5</definedName>
    <definedName name="solver_rel2" localSheetId="1" hidden="1">1</definedName>
    <definedName name="solver_rhs1" localSheetId="1" hidden="1">"binary"</definedName>
    <definedName name="solver_rhs2" localSheetId="1" hidden="1">Sheet1!$K$10:$K$12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J4" i="1"/>
</calcChain>
</file>

<file path=xl/sharedStrings.xml><?xml version="1.0" encoding="utf-8"?>
<sst xmlns="http://schemas.openxmlformats.org/spreadsheetml/2006/main" count="73" uniqueCount="60">
  <si>
    <t>Variables</t>
  </si>
  <si>
    <t>Solution</t>
  </si>
  <si>
    <t>Obj Coef</t>
  </si>
  <si>
    <t>Constraints</t>
  </si>
  <si>
    <t>Const1</t>
  </si>
  <si>
    <t>Const2</t>
  </si>
  <si>
    <t>Const3</t>
  </si>
  <si>
    <t>x1</t>
  </si>
  <si>
    <t>x2</t>
  </si>
  <si>
    <t>x3</t>
  </si>
  <si>
    <t>x4</t>
  </si>
  <si>
    <t>Returns</t>
  </si>
  <si>
    <t>LHS</t>
  </si>
  <si>
    <t>RHS</t>
  </si>
  <si>
    <t>&lt;=</t>
  </si>
  <si>
    <t>Microsoft Excel 16.78 Answer Report</t>
  </si>
  <si>
    <t>Worksheet: [Book4]Sheet1</t>
  </si>
  <si>
    <t>Report Created: 30/04/2026 14:46:49</t>
  </si>
  <si>
    <t>Result: Solver found a solution.  All constraints and optimality conditions are satisfied.</t>
  </si>
  <si>
    <t>Solver Engine</t>
  </si>
  <si>
    <t>Engine: Simplex LP</t>
  </si>
  <si>
    <t>Solution Time: 1121.318 Seconds.</t>
  </si>
  <si>
    <t>Iterations: 1 Subproblems: 6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</si>
  <si>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</si>
  <si>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</si>
  <si>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</si>
  <si>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</si>
  <si>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</si>
  <si>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</si>
  <si>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</si>
  <si>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</si>
  <si>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</si>
  <si>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</si>
  <si>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</si>
  <si>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</si>
  <si>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</si>
  <si>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</si>
  <si>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$J$4</t>
  </si>
  <si>
    <t>Solution Returns</t>
  </si>
  <si>
    <t>$D$4</t>
  </si>
  <si>
    <t>Solution x1</t>
  </si>
  <si>
    <t>$E$4</t>
  </si>
  <si>
    <t>Solution x2</t>
  </si>
  <si>
    <t>$F$4</t>
  </si>
  <si>
    <t>Solution x3</t>
  </si>
  <si>
    <t>$G$4</t>
  </si>
  <si>
    <t>Solution x4</t>
  </si>
  <si>
    <t>$I$10</t>
  </si>
  <si>
    <t>Const1 LHS</t>
  </si>
  <si>
    <t>$I$10&lt;=$K$10</t>
  </si>
  <si>
    <t>Not Binding</t>
  </si>
  <si>
    <t>$I$11</t>
  </si>
  <si>
    <t>Const2 LHS</t>
  </si>
  <si>
    <t>$I$11&lt;=$K$11</t>
  </si>
  <si>
    <t>$I$12</t>
  </si>
  <si>
    <t>Const3 LHS</t>
  </si>
  <si>
    <t>$I$12&lt;=$K$12</t>
  </si>
  <si>
    <t>Binding</t>
  </si>
  <si>
    <t>$D$4:$G$4=Binary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</si>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</sst>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D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08CB-F157-504A-ADCA-B2F395D58F43}">
  <dimension ref="A1:G32"/>
  <sheetViews>
    <sheetView showGridLines="0" topLeftCell="A9" workbookViewId="0"/>
  </sheetViews>
  <sheetFormatPr baseColWidth="10" defaultRowHeight="16" x14ac:dyDescent="0.2"/>
  <cols>
    <col min="1" max="1" width="2.33203125" customWidth="1"/>
    <col min="2" max="2" width="16.5" bestFit="1" customWidth="1"/>
    <col min="3" max="3" width="14.6640625" bestFit="1" customWidth="1"/>
    <col min="4" max="4" width="12.83203125" bestFit="1" customWidth="1"/>
    <col min="5" max="5" width="12.6640625" bestFit="1" customWidth="1"/>
    <col min="6" max="6" width="10.83203125" bestFit="1" customWidth="1"/>
    <col min="7" max="7" width="5.5" bestFit="1" customWidth="1"/>
  </cols>
  <sheetData>
    <row r="1" spans="1:5" x14ac:dyDescent="0.2">
      <c r="A1" s="4" t="s">
        <v>15</v>
      </c>
    </row>
    <row r="2" spans="1:5" x14ac:dyDescent="0.2">
      <c r="A2" s="4" t="s">
        <v>16</v>
      </c>
    </row>
    <row r="3" spans="1:5" x14ac:dyDescent="0.2">
      <c r="A3" s="4" t="s">
        <v>17</v>
      </c>
    </row>
    <row r="4" spans="1:5" x14ac:dyDescent="0.2">
      <c r="A4" s="4" t="s">
        <v>18</v>
      </c>
    </row>
    <row r="5" spans="1:5" x14ac:dyDescent="0.2">
      <c r="A5" s="4" t="s">
        <v>19</v>
      </c>
    </row>
    <row r="6" spans="1:5" x14ac:dyDescent="0.2">
      <c r="A6" s="4"/>
      <c r="B6" t="s">
        <v>20</v>
      </c>
    </row>
    <row r="7" spans="1:5" x14ac:dyDescent="0.2">
      <c r="A7" s="4"/>
      <c r="B7" t="s">
        <v>21</v>
      </c>
    </row>
    <row r="8" spans="1:5" x14ac:dyDescent="0.2">
      <c r="A8" s="4"/>
      <c r="B8" t="s">
        <v>22</v>
      </c>
    </row>
    <row r="9" spans="1:5" x14ac:dyDescent="0.2">
      <c r="A9" s="4" t="s">
        <v>23</v>
      </c>
    </row>
    <row r="10" spans="1:5" x14ac:dyDescent="0.2">
      <c r="B10" t="s">
        <v>24</v>
      </c>
    </row>
    <row r="11" spans="1:5" x14ac:dyDescent="0.2">
      <c r="B11" t="s">
        <v>25</v>
      </c>
    </row>
    <row r="14" spans="1:5" ht="17" thickBot="1" x14ac:dyDescent="0.25">
      <c r="A14" t="s">
        <v>26</v>
      </c>
    </row>
    <row r="15" spans="1:5" ht="17" thickBot="1" x14ac:dyDescent="0.25">
      <c r="B15" s="6" t="s">
        <v>27</v>
      </c>
      <c r="C15" s="6" t="s">
        <v>28</v>
      </c>
      <c r="D15" s="6" t="s">
        <v>29</v>
      </c>
      <c r="E15" s="6" t="s">
        <v>30</v>
      </c>
    </row>
    <row r="16" spans="1:5" ht="17" thickBot="1" x14ac:dyDescent="0.25">
      <c r="B16" s="5" t="s">
        <v>37</v>
      </c>
      <c r="C16" s="5" t="s">
        <v>38</v>
      </c>
      <c r="D16" s="8">
        <v>0</v>
      </c>
      <c r="E16" s="8">
        <v>414</v>
      </c>
    </row>
    <row r="19" spans="1:7" ht="17" thickBot="1" x14ac:dyDescent="0.25">
      <c r="A19" t="s">
        <v>31</v>
      </c>
    </row>
    <row r="20" spans="1:7" ht="17" thickBot="1" x14ac:dyDescent="0.25">
      <c r="B20" s="6" t="s">
        <v>27</v>
      </c>
      <c r="C20" s="6" t="s">
        <v>28</v>
      </c>
      <c r="D20" s="6" t="s">
        <v>29</v>
      </c>
      <c r="E20" s="6" t="s">
        <v>30</v>
      </c>
      <c r="F20" s="6" t="s">
        <v>32</v>
      </c>
    </row>
    <row r="21" spans="1:7" x14ac:dyDescent="0.2">
      <c r="B21" s="7" t="s">
        <v>39</v>
      </c>
      <c r="C21" s="7" t="s">
        <v>40</v>
      </c>
      <c r="D21" s="9">
        <v>0</v>
      </c>
      <c r="E21" s="9">
        <v>1</v>
      </c>
      <c r="F21" s="7" t="s">
        <v>59</v>
      </c>
    </row>
    <row r="22" spans="1:7" x14ac:dyDescent="0.2">
      <c r="B22" s="7" t="s">
        <v>41</v>
      </c>
      <c r="C22" s="7" t="s">
        <v>42</v>
      </c>
      <c r="D22" s="9">
        <v>0</v>
      </c>
      <c r="E22" s="9">
        <v>0</v>
      </c>
      <c r="F22" s="7" t="s">
        <v>59</v>
      </c>
    </row>
    <row r="23" spans="1:7" x14ac:dyDescent="0.2">
      <c r="B23" s="7" t="s">
        <v>43</v>
      </c>
      <c r="C23" s="7" t="s">
        <v>44</v>
      </c>
      <c r="D23" s="9">
        <v>0</v>
      </c>
      <c r="E23" s="9">
        <v>1</v>
      </c>
      <c r="F23" s="7" t="s">
        <v>59</v>
      </c>
    </row>
    <row r="24" spans="1:7" ht="17" thickBot="1" x14ac:dyDescent="0.25">
      <c r="B24" s="5" t="s">
        <v>45</v>
      </c>
      <c r="C24" s="5" t="s">
        <v>46</v>
      </c>
      <c r="D24" s="8">
        <v>0</v>
      </c>
      <c r="E24" s="8">
        <v>1</v>
      </c>
      <c r="F24" s="5" t="s">
        <v>59</v>
      </c>
    </row>
    <row r="27" spans="1:7" ht="17" thickBot="1" x14ac:dyDescent="0.25">
      <c r="A27" t="s">
        <v>3</v>
      </c>
    </row>
    <row r="28" spans="1:7" ht="17" thickBot="1" x14ac:dyDescent="0.25">
      <c r="B28" s="6" t="s">
        <v>27</v>
      </c>
      <c r="C28" s="6" t="s">
        <v>28</v>
      </c>
      <c r="D28" s="6" t="s">
        <v>33</v>
      </c>
      <c r="E28" s="6" t="s">
        <v>34</v>
      </c>
      <c r="F28" s="6" t="s">
        <v>35</v>
      </c>
      <c r="G28" s="6" t="s">
        <v>36</v>
      </c>
    </row>
    <row r="29" spans="1:7" x14ac:dyDescent="0.2">
      <c r="B29" s="7" t="s">
        <v>47</v>
      </c>
      <c r="C29" s="7" t="s">
        <v>48</v>
      </c>
      <c r="D29" s="9">
        <v>107</v>
      </c>
      <c r="E29" s="7" t="s">
        <v>49</v>
      </c>
      <c r="F29" s="7" t="s">
        <v>50</v>
      </c>
      <c r="G29" s="7">
        <v>13</v>
      </c>
    </row>
    <row r="30" spans="1:7" x14ac:dyDescent="0.2">
      <c r="B30" s="7" t="s">
        <v>51</v>
      </c>
      <c r="C30" s="7" t="s">
        <v>52</v>
      </c>
      <c r="D30" s="9">
        <v>55</v>
      </c>
      <c r="E30" s="7" t="s">
        <v>53</v>
      </c>
      <c r="F30" s="7" t="s">
        <v>50</v>
      </c>
      <c r="G30" s="7">
        <v>25</v>
      </c>
    </row>
    <row r="31" spans="1:7" x14ac:dyDescent="0.2">
      <c r="B31" s="7" t="s">
        <v>54</v>
      </c>
      <c r="C31" s="7" t="s">
        <v>55</v>
      </c>
      <c r="D31" s="9">
        <v>95</v>
      </c>
      <c r="E31" s="7" t="s">
        <v>56</v>
      </c>
      <c r="F31" s="7" t="s">
        <v>57</v>
      </c>
      <c r="G31" s="7">
        <v>0</v>
      </c>
    </row>
    <row r="32" spans="1:7" ht="17" thickBot="1" x14ac:dyDescent="0.25">
      <c r="B32" s="5" t="s">
        <v>58</v>
      </c>
      <c r="C32" s="5"/>
      <c r="D32" s="5"/>
      <c r="E32" s="5"/>
      <c r="F32" s="5"/>
      <c r="G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1E0D-46BF-AC48-BF0F-8E5B767A769B}">
  <dimension ref="B3:K12"/>
  <sheetViews>
    <sheetView tabSelected="1" workbookViewId="0">
      <selection activeCell="I15" sqref="I15"/>
    </sheetView>
  </sheetViews>
  <sheetFormatPr baseColWidth="10" defaultRowHeight="16" x14ac:dyDescent="0.2"/>
  <sheetData>
    <row r="3" spans="2:11" x14ac:dyDescent="0.2">
      <c r="B3" t="s">
        <v>0</v>
      </c>
      <c r="D3" t="s">
        <v>7</v>
      </c>
      <c r="E3" t="s">
        <v>8</v>
      </c>
      <c r="F3" t="s">
        <v>9</v>
      </c>
      <c r="G3" t="s">
        <v>10</v>
      </c>
      <c r="J3" t="s">
        <v>11</v>
      </c>
    </row>
    <row r="4" spans="2:11" x14ac:dyDescent="0.2">
      <c r="B4" t="s">
        <v>1</v>
      </c>
      <c r="D4" s="3">
        <v>1</v>
      </c>
      <c r="E4" s="3">
        <v>0</v>
      </c>
      <c r="F4" s="3">
        <v>1</v>
      </c>
      <c r="G4" s="3">
        <v>1</v>
      </c>
      <c r="J4" s="2">
        <f>SUMPRODUCT(D4:G4,D6:G6)</f>
        <v>414</v>
      </c>
    </row>
    <row r="6" spans="2:11" x14ac:dyDescent="0.2">
      <c r="B6" t="s">
        <v>2</v>
      </c>
      <c r="D6">
        <v>217</v>
      </c>
      <c r="E6">
        <v>125</v>
      </c>
      <c r="F6">
        <v>88</v>
      </c>
      <c r="G6">
        <v>109</v>
      </c>
    </row>
    <row r="9" spans="2:11" x14ac:dyDescent="0.2">
      <c r="B9" t="s">
        <v>3</v>
      </c>
      <c r="I9" t="s">
        <v>12</v>
      </c>
      <c r="K9" t="s">
        <v>13</v>
      </c>
    </row>
    <row r="10" spans="2:11" x14ac:dyDescent="0.2">
      <c r="B10" t="s">
        <v>4</v>
      </c>
      <c r="D10">
        <v>58</v>
      </c>
      <c r="E10">
        <v>44</v>
      </c>
      <c r="F10">
        <v>26</v>
      </c>
      <c r="G10">
        <v>23</v>
      </c>
      <c r="I10" s="1">
        <f>SUMPRODUCT(D4:G4,D10:G10)</f>
        <v>107</v>
      </c>
      <c r="J10" t="s">
        <v>14</v>
      </c>
      <c r="K10">
        <v>120</v>
      </c>
    </row>
    <row r="11" spans="2:11" x14ac:dyDescent="0.2">
      <c r="B11" t="s">
        <v>5</v>
      </c>
      <c r="D11">
        <v>25</v>
      </c>
      <c r="E11">
        <v>29</v>
      </c>
      <c r="F11">
        <v>13</v>
      </c>
      <c r="G11">
        <v>17</v>
      </c>
      <c r="I11" s="1">
        <f>SUMPRODUCT(D4:G4,D11:G11)</f>
        <v>55</v>
      </c>
      <c r="J11" t="s">
        <v>14</v>
      </c>
      <c r="K11">
        <v>80</v>
      </c>
    </row>
    <row r="12" spans="2:11" x14ac:dyDescent="0.2">
      <c r="B12" t="s">
        <v>6</v>
      </c>
      <c r="D12">
        <v>43</v>
      </c>
      <c r="E12">
        <v>25</v>
      </c>
      <c r="F12">
        <v>23</v>
      </c>
      <c r="G12">
        <v>29</v>
      </c>
      <c r="I12" s="1">
        <f>SUMPRODUCT(D4:G4,D12:G12)</f>
        <v>95</v>
      </c>
      <c r="J12" t="s">
        <v>14</v>
      </c>
      <c r="K12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2026-04-30T11:39:56Z</dcterms:created>
  <dcterms:modified xsi:type="dcterms:W3CDTF">2026-04-30T12:15:37Z</dcterms:modified>
</cp:coreProperties>
</file>